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Z:\projects\onc-prj-shr1210\sub-csr\prt-336\00_docs\02_progdoc\02_lot\2025\"/>
    </mc:Choice>
  </mc:AlternateContent>
  <xr:revisionPtr revIDLastSave="0" documentId="13_ncr:1_{190A9F51-AE44-4524-9BC7-E52C7A6F4609}" xr6:coauthVersionLast="36" xr6:coauthVersionMax="36" xr10:uidLastSave="{00000000-0000-0000-0000-000000000000}"/>
  <bookViews>
    <workbookView xWindow="0" yWindow="0" windowWidth="19200" windowHeight="7920" firstSheet="1" activeTab="2" xr2:uid="{00000000-000D-0000-FFFF-FFFF00000000}"/>
  </bookViews>
  <sheets>
    <sheet name="Cover" sheetId="1" r:id="rId1"/>
    <sheet name="Datasets" sheetId="2" r:id="rId2"/>
    <sheet name="TFLs" sheetId="3" r:id="rId3"/>
    <sheet name="Members" sheetId="4" r:id="rId4"/>
  </sheets>
  <externalReferences>
    <externalReference r:id="rId5"/>
  </externalReferences>
  <definedNames>
    <definedName name="_xlnm._FilterDatabase" localSheetId="1" hidden="1">Datasets!$A$1:$K$59</definedName>
    <definedName name="_xlnm._FilterDatabase" localSheetId="2" hidden="1">TFLs!$A$1:$U$211</definedName>
    <definedName name="DLM_Email">"\|/"</definedName>
    <definedName name="DLM_Text_File">"|"</definedName>
    <definedName name="Footnote">[1]TFLs!#REF!</definedName>
    <definedName name="PI_Minor_Version">"00"</definedName>
    <definedName name="Population">[1]TFLs!#REF!</definedName>
    <definedName name="_xlnm.Print_Area" localSheetId="0">Cover!$B$2:$O$19</definedName>
    <definedName name="TxtName">[1]TFLs!#REF!</definedName>
    <definedName name="Valid_Column_Action">[1]Reference!$D$2:$D$5</definedName>
  </definedNames>
  <calcPr calcId="191029"/>
</workbook>
</file>

<file path=xl/calcChain.xml><?xml version="1.0" encoding="utf-8"?>
<calcChain xmlns="http://schemas.openxmlformats.org/spreadsheetml/2006/main">
  <c r="T182" i="3" l="1"/>
  <c r="S182" i="3"/>
  <c r="T39" i="3" l="1"/>
  <c r="S39" i="3"/>
  <c r="H60" i="2" l="1"/>
  <c r="T204" i="3" l="1"/>
  <c r="T205" i="3"/>
  <c r="T206" i="3"/>
  <c r="T207" i="3"/>
  <c r="T208" i="3"/>
  <c r="T209" i="3"/>
  <c r="T210" i="3"/>
  <c r="S204" i="3"/>
  <c r="S205" i="3"/>
  <c r="S206" i="3"/>
  <c r="S207" i="3"/>
  <c r="S208" i="3"/>
  <c r="S209" i="3"/>
  <c r="S210" i="3"/>
  <c r="G29" i="3" l="1"/>
  <c r="G30" i="3"/>
  <c r="G31" i="3"/>
  <c r="G40" i="3"/>
  <c r="G42" i="3"/>
  <c r="G43" i="3"/>
  <c r="S67" i="3" l="1"/>
  <c r="S66" i="3"/>
  <c r="G67" i="3"/>
  <c r="T67" i="3" s="1"/>
  <c r="T65" i="3" l="1"/>
  <c r="S65" i="3"/>
  <c r="T57" i="3"/>
  <c r="T56" i="3"/>
  <c r="T33" i="3"/>
  <c r="S57" i="3"/>
  <c r="S56" i="3"/>
  <c r="S33" i="3"/>
  <c r="T34" i="3" l="1"/>
  <c r="T35" i="3"/>
  <c r="T36" i="3"/>
  <c r="T37" i="3"/>
  <c r="T38" i="3"/>
  <c r="T211" i="3"/>
  <c r="S211" i="3"/>
  <c r="T203" i="3"/>
  <c r="S203" i="3"/>
  <c r="T202" i="3"/>
  <c r="S202" i="3"/>
  <c r="T201" i="3"/>
  <c r="S201" i="3"/>
  <c r="T200" i="3"/>
  <c r="S200" i="3"/>
  <c r="T199" i="3"/>
  <c r="S199" i="3"/>
  <c r="T198" i="3"/>
  <c r="S198" i="3"/>
  <c r="T197" i="3"/>
  <c r="S197" i="3"/>
  <c r="T196" i="3"/>
  <c r="S196" i="3"/>
  <c r="T195" i="3"/>
  <c r="S195" i="3"/>
  <c r="T194" i="3"/>
  <c r="S194" i="3"/>
  <c r="T193" i="3"/>
  <c r="S193" i="3"/>
  <c r="T192" i="3"/>
  <c r="S192" i="3"/>
  <c r="T191" i="3"/>
  <c r="S191" i="3"/>
  <c r="T190" i="3"/>
  <c r="S190" i="3"/>
  <c r="T189" i="3"/>
  <c r="S189" i="3"/>
  <c r="T188" i="3"/>
  <c r="S188" i="3"/>
  <c r="T187" i="3"/>
  <c r="S187" i="3"/>
  <c r="T186" i="3"/>
  <c r="S186" i="3"/>
  <c r="T185" i="3"/>
  <c r="S185" i="3"/>
  <c r="T184" i="3"/>
  <c r="S184" i="3"/>
  <c r="T183" i="3"/>
  <c r="S183" i="3"/>
  <c r="T181" i="3"/>
  <c r="S181" i="3"/>
  <c r="T180" i="3"/>
  <c r="S180" i="3"/>
  <c r="T179" i="3"/>
  <c r="S179" i="3"/>
  <c r="T178" i="3"/>
  <c r="S178" i="3"/>
  <c r="T177" i="3"/>
  <c r="S177" i="3"/>
  <c r="T176" i="3"/>
  <c r="S176" i="3"/>
  <c r="T175" i="3"/>
  <c r="S175" i="3"/>
  <c r="T174" i="3"/>
  <c r="S174" i="3"/>
  <c r="T173" i="3"/>
  <c r="S173" i="3"/>
  <c r="T172" i="3"/>
  <c r="S172" i="3"/>
  <c r="T171" i="3"/>
  <c r="S171" i="3"/>
  <c r="T170" i="3"/>
  <c r="S170" i="3"/>
  <c r="T169" i="3"/>
  <c r="S169" i="3"/>
  <c r="T168" i="3"/>
  <c r="S168" i="3"/>
  <c r="T167" i="3"/>
  <c r="S167" i="3"/>
  <c r="T166" i="3"/>
  <c r="S166" i="3"/>
  <c r="T164" i="3"/>
  <c r="S164" i="3"/>
  <c r="T163" i="3"/>
  <c r="S163" i="3"/>
  <c r="T162" i="3"/>
  <c r="S162" i="3"/>
  <c r="T161" i="3"/>
  <c r="S161" i="3"/>
  <c r="T160" i="3"/>
  <c r="S160" i="3"/>
  <c r="T159" i="3"/>
  <c r="S159" i="3"/>
  <c r="S158" i="3"/>
  <c r="T157" i="3"/>
  <c r="S157" i="3"/>
  <c r="T156" i="3"/>
  <c r="S156" i="3"/>
  <c r="T155" i="3"/>
  <c r="S155" i="3"/>
  <c r="T154" i="3"/>
  <c r="S154" i="3"/>
  <c r="T153" i="3"/>
  <c r="S153" i="3"/>
  <c r="T152" i="3"/>
  <c r="S152" i="3"/>
  <c r="T151" i="3"/>
  <c r="S151" i="3"/>
  <c r="T150" i="3"/>
  <c r="S150" i="3"/>
  <c r="S149" i="3"/>
  <c r="T148" i="3"/>
  <c r="S148" i="3"/>
  <c r="T147" i="3"/>
  <c r="S147" i="3"/>
  <c r="T146" i="3"/>
  <c r="S146" i="3"/>
  <c r="S145" i="3"/>
  <c r="T144" i="3"/>
  <c r="S144" i="3"/>
  <c r="S143" i="3"/>
  <c r="T142" i="3"/>
  <c r="S142" i="3"/>
  <c r="T141" i="3"/>
  <c r="S141" i="3"/>
  <c r="T140" i="3"/>
  <c r="S140" i="3"/>
  <c r="T139" i="3"/>
  <c r="S139" i="3"/>
  <c r="T138" i="3"/>
  <c r="S138" i="3"/>
  <c r="T137" i="3"/>
  <c r="S137" i="3"/>
  <c r="T136" i="3"/>
  <c r="S136" i="3"/>
  <c r="T135" i="3"/>
  <c r="S135" i="3"/>
  <c r="T134" i="3"/>
  <c r="S134" i="3"/>
  <c r="T133" i="3"/>
  <c r="S133" i="3"/>
  <c r="T132" i="3"/>
  <c r="S132" i="3"/>
  <c r="T131" i="3"/>
  <c r="S131" i="3"/>
  <c r="S130" i="3"/>
  <c r="S129" i="3"/>
  <c r="S128" i="3"/>
  <c r="S127" i="3"/>
  <c r="S126" i="3"/>
  <c r="S125" i="3"/>
  <c r="T124" i="3"/>
  <c r="S124" i="3"/>
  <c r="T123" i="3"/>
  <c r="S123" i="3"/>
  <c r="T122" i="3"/>
  <c r="S122" i="3"/>
  <c r="S121" i="3"/>
  <c r="S120" i="3"/>
  <c r="S119" i="3"/>
  <c r="S118" i="3"/>
  <c r="S117" i="3"/>
  <c r="S116" i="3"/>
  <c r="S115" i="3"/>
  <c r="S114" i="3"/>
  <c r="S113" i="3"/>
  <c r="S112" i="3"/>
  <c r="S111" i="3"/>
  <c r="S110" i="3"/>
  <c r="S109" i="3"/>
  <c r="S108" i="3"/>
  <c r="S107" i="3"/>
  <c r="S106" i="3"/>
  <c r="S105" i="3"/>
  <c r="S104" i="3"/>
  <c r="S103" i="3"/>
  <c r="S102" i="3"/>
  <c r="S101" i="3"/>
  <c r="S100" i="3"/>
  <c r="S99" i="3"/>
  <c r="S98" i="3"/>
  <c r="S97" i="3"/>
  <c r="T96" i="3"/>
  <c r="S96" i="3"/>
  <c r="T95" i="3"/>
  <c r="S95" i="3"/>
  <c r="S94" i="3"/>
  <c r="S93" i="3"/>
  <c r="S92" i="3"/>
  <c r="S91" i="3"/>
  <c r="S90" i="3"/>
  <c r="S89" i="3"/>
  <c r="S88" i="3"/>
  <c r="S87" i="3"/>
  <c r="S86" i="3"/>
  <c r="S85" i="3"/>
  <c r="S84" i="3"/>
  <c r="S83" i="3"/>
  <c r="S82" i="3"/>
  <c r="S81" i="3"/>
  <c r="S80" i="3"/>
  <c r="S79" i="3"/>
  <c r="S78" i="3"/>
  <c r="S77" i="3"/>
  <c r="S76" i="3"/>
  <c r="S75" i="3"/>
  <c r="S74" i="3"/>
  <c r="S73" i="3"/>
  <c r="S72" i="3"/>
  <c r="S71" i="3"/>
  <c r="S70" i="3"/>
  <c r="S69" i="3"/>
  <c r="T68" i="3"/>
  <c r="S68" i="3"/>
  <c r="T64" i="3"/>
  <c r="S64" i="3"/>
  <c r="S63" i="3"/>
  <c r="S62" i="3"/>
  <c r="S61" i="3"/>
  <c r="S60" i="3"/>
  <c r="S59" i="3"/>
  <c r="S58" i="3"/>
  <c r="T55" i="3"/>
  <c r="S55" i="3"/>
  <c r="T54" i="3"/>
  <c r="S54" i="3"/>
  <c r="T53" i="3"/>
  <c r="S53" i="3"/>
  <c r="T52" i="3"/>
  <c r="S52" i="3"/>
  <c r="T51" i="3"/>
  <c r="S51" i="3"/>
  <c r="T50" i="3"/>
  <c r="S50" i="3"/>
  <c r="T49" i="3"/>
  <c r="S49" i="3"/>
  <c r="T48" i="3"/>
  <c r="S48" i="3"/>
  <c r="T47" i="3"/>
  <c r="S47" i="3"/>
  <c r="T46" i="3"/>
  <c r="S46" i="3"/>
  <c r="S45" i="3"/>
  <c r="S44" i="3"/>
  <c r="S43" i="3"/>
  <c r="S42" i="3"/>
  <c r="S40" i="3"/>
  <c r="S38" i="3"/>
  <c r="S37" i="3"/>
  <c r="S36" i="3"/>
  <c r="S35" i="3"/>
  <c r="S34" i="3"/>
  <c r="T32" i="3"/>
  <c r="S32" i="3"/>
  <c r="S31" i="3"/>
  <c r="S30" i="3"/>
  <c r="S29" i="3"/>
  <c r="S28" i="3"/>
  <c r="T27" i="3"/>
  <c r="S27" i="3"/>
  <c r="T26" i="3"/>
  <c r="S26" i="3"/>
  <c r="T25" i="3"/>
  <c r="S25" i="3"/>
  <c r="T24" i="3"/>
  <c r="S24" i="3"/>
  <c r="T23" i="3"/>
  <c r="S23" i="3"/>
  <c r="T22" i="3"/>
  <c r="S22" i="3"/>
  <c r="T21" i="3"/>
  <c r="S21" i="3"/>
  <c r="T20" i="3"/>
  <c r="S20" i="3"/>
  <c r="T19" i="3"/>
  <c r="S19" i="3"/>
  <c r="T18" i="3"/>
  <c r="S18" i="3"/>
  <c r="T17" i="3"/>
  <c r="S17" i="3"/>
  <c r="T16" i="3"/>
  <c r="S16" i="3"/>
  <c r="T15" i="3"/>
  <c r="S15" i="3"/>
  <c r="T14" i="3"/>
  <c r="S14" i="3"/>
  <c r="T13" i="3"/>
  <c r="S13" i="3"/>
  <c r="T12" i="3"/>
  <c r="S12" i="3"/>
  <c r="T11" i="3"/>
  <c r="S11" i="3"/>
  <c r="T10" i="3"/>
  <c r="S10" i="3"/>
  <c r="T9" i="3"/>
  <c r="S9" i="3"/>
  <c r="T8" i="3"/>
  <c r="S8" i="3"/>
  <c r="T7" i="3"/>
  <c r="S7" i="3"/>
  <c r="T6" i="3"/>
  <c r="S6" i="3"/>
  <c r="T5" i="3"/>
  <c r="S5" i="3"/>
  <c r="T4" i="3"/>
  <c r="S4" i="3"/>
  <c r="T3" i="3"/>
  <c r="S3" i="3"/>
  <c r="T2" i="3"/>
  <c r="S2" i="3"/>
  <c r="T44" i="3" l="1"/>
  <c r="T84" i="3" l="1"/>
  <c r="T86" i="3"/>
  <c r="T91" i="3"/>
  <c r="G70" i="3"/>
  <c r="T70" i="3" s="1"/>
  <c r="H59" i="2" l="1"/>
  <c r="H37" i="2" l="1"/>
  <c r="H38" i="2"/>
  <c r="H39" i="2"/>
  <c r="H40" i="2"/>
  <c r="H41" i="2"/>
  <c r="H42" i="2"/>
  <c r="H43" i="2"/>
  <c r="H44" i="2"/>
  <c r="H45" i="2"/>
  <c r="H46" i="2"/>
  <c r="H47" i="2"/>
  <c r="H48" i="2"/>
  <c r="H49" i="2"/>
  <c r="H50" i="2"/>
  <c r="H51" i="2"/>
  <c r="H52" i="2"/>
  <c r="H53" i="2"/>
  <c r="H54" i="2"/>
  <c r="H55" i="2"/>
  <c r="H56" i="2"/>
  <c r="H57" i="2"/>
  <c r="H58" i="2"/>
  <c r="H7" i="2"/>
  <c r="H8" i="2"/>
  <c r="H9" i="2"/>
  <c r="H10" i="2"/>
  <c r="H11" i="2"/>
  <c r="H12" i="2"/>
  <c r="H13" i="2"/>
  <c r="H14" i="2"/>
  <c r="H15" i="2"/>
  <c r="H16" i="2"/>
  <c r="H17" i="2"/>
  <c r="H18" i="2"/>
  <c r="H19" i="2"/>
  <c r="H20" i="2"/>
  <c r="H21" i="2"/>
  <c r="H22" i="2"/>
  <c r="H23" i="2"/>
  <c r="H24" i="2"/>
  <c r="H25" i="2"/>
  <c r="H26" i="2"/>
  <c r="H27" i="2"/>
  <c r="H28" i="2"/>
  <c r="H29" i="2"/>
  <c r="H30" i="2"/>
  <c r="H31" i="2"/>
  <c r="H32" i="2"/>
  <c r="H33" i="2"/>
  <c r="H35" i="2"/>
  <c r="H36" i="2"/>
  <c r="H34" i="2"/>
  <c r="G158" i="3" l="1"/>
  <c r="T158" i="3" s="1"/>
  <c r="G149" i="3"/>
  <c r="T149" i="3" s="1"/>
  <c r="G145" i="3"/>
  <c r="T145" i="3" s="1"/>
  <c r="G143" i="3"/>
  <c r="T143" i="3" s="1"/>
  <c r="T130" i="3"/>
  <c r="T129" i="3"/>
  <c r="T128" i="3"/>
  <c r="T127" i="3"/>
  <c r="T126" i="3"/>
  <c r="T125" i="3"/>
  <c r="T121" i="3"/>
  <c r="T120" i="3"/>
  <c r="T119" i="3"/>
  <c r="T118" i="3"/>
  <c r="T117" i="3"/>
  <c r="T116" i="3"/>
  <c r="T115" i="3"/>
  <c r="T114" i="3"/>
  <c r="T113" i="3"/>
  <c r="T112" i="3"/>
  <c r="G111" i="3"/>
  <c r="T111" i="3" s="1"/>
  <c r="G110" i="3"/>
  <c r="T110" i="3" s="1"/>
  <c r="G109" i="3"/>
  <c r="T109" i="3" s="1"/>
  <c r="G108" i="3"/>
  <c r="T108" i="3" s="1"/>
  <c r="G107" i="3"/>
  <c r="T107" i="3" s="1"/>
  <c r="G106" i="3"/>
  <c r="T106" i="3" s="1"/>
  <c r="G105" i="3"/>
  <c r="T105" i="3" s="1"/>
  <c r="G104" i="3"/>
  <c r="T104" i="3" s="1"/>
  <c r="G103" i="3"/>
  <c r="T103" i="3" s="1"/>
  <c r="G102" i="3"/>
  <c r="T102" i="3" s="1"/>
  <c r="G101" i="3"/>
  <c r="T101" i="3" s="1"/>
  <c r="G100" i="3"/>
  <c r="T100" i="3" s="1"/>
  <c r="G99" i="3"/>
  <c r="T99" i="3" s="1"/>
  <c r="G98" i="3"/>
  <c r="T98" i="3" s="1"/>
  <c r="G97" i="3"/>
  <c r="T97" i="3" s="1"/>
  <c r="T94" i="3"/>
  <c r="T93" i="3"/>
  <c r="T92" i="3"/>
  <c r="T90" i="3"/>
  <c r="T89" i="3"/>
  <c r="T88" i="3"/>
  <c r="T87" i="3"/>
  <c r="T85" i="3"/>
  <c r="T83" i="3"/>
  <c r="T82" i="3"/>
  <c r="T81" i="3"/>
  <c r="T80" i="3"/>
  <c r="G79" i="3"/>
  <c r="T79" i="3" s="1"/>
  <c r="G78" i="3"/>
  <c r="T78" i="3" s="1"/>
  <c r="G77" i="3"/>
  <c r="T77" i="3" s="1"/>
  <c r="G76" i="3"/>
  <c r="T76" i="3" s="1"/>
  <c r="G75" i="3"/>
  <c r="T75" i="3" s="1"/>
  <c r="G74" i="3"/>
  <c r="T74" i="3" s="1"/>
  <c r="G73" i="3"/>
  <c r="T73" i="3" s="1"/>
  <c r="G72" i="3"/>
  <c r="T72" i="3" s="1"/>
  <c r="G71" i="3"/>
  <c r="T71" i="3" s="1"/>
  <c r="G69" i="3"/>
  <c r="T69" i="3" s="1"/>
  <c r="G66" i="3"/>
  <c r="T66" i="3" s="1"/>
  <c r="G63" i="3"/>
  <c r="T63" i="3" s="1"/>
  <c r="G62" i="3"/>
  <c r="T62" i="3" s="1"/>
  <c r="G61" i="3"/>
  <c r="T61" i="3" s="1"/>
  <c r="G60" i="3"/>
  <c r="T60" i="3" s="1"/>
  <c r="G59" i="3"/>
  <c r="T59" i="3" s="1"/>
  <c r="G58" i="3"/>
  <c r="T58" i="3" s="1"/>
  <c r="T43" i="3"/>
  <c r="T42" i="3"/>
  <c r="T40" i="3"/>
  <c r="T31" i="3"/>
  <c r="T30" i="3"/>
  <c r="T29" i="3"/>
  <c r="G28" i="3"/>
  <c r="T28" i="3" s="1"/>
  <c r="T45" i="3" l="1"/>
</calcChain>
</file>

<file path=xl/sharedStrings.xml><?xml version="1.0" encoding="utf-8"?>
<sst xmlns="http://schemas.openxmlformats.org/spreadsheetml/2006/main" count="2959" uniqueCount="1318">
  <si>
    <t/>
  </si>
  <si>
    <t>List of Tables
for
SHR-1210-III-336</t>
  </si>
  <si>
    <t>Lead Programmer：Kong,Yangyang</t>
  </si>
  <si>
    <t xml:space="preserve">                 Version：V0.1     Date：</t>
  </si>
  <si>
    <t>Dataset Label</t>
  </si>
  <si>
    <t>Program Name</t>
  </si>
  <si>
    <t>Output Name</t>
  </si>
  <si>
    <t>Programmer</t>
  </si>
  <si>
    <t>Output Date</t>
  </si>
  <si>
    <t>Status</t>
  </si>
  <si>
    <t>QC Programmer</t>
  </si>
  <si>
    <t>QC Program Name</t>
  </si>
  <si>
    <t>QC Completion Date</t>
  </si>
  <si>
    <t>QC Status</t>
  </si>
  <si>
    <t>Comments/Resolutions</t>
  </si>
  <si>
    <t>试验分组</t>
  </si>
  <si>
    <t>trialdesign.sas</t>
  </si>
  <si>
    <t>ta.sas7bdat</t>
  </si>
  <si>
    <t>kongyy</t>
  </si>
  <si>
    <t>wangl137</t>
  </si>
  <si>
    <t>试验元素</t>
  </si>
  <si>
    <t>te.sas7bdat</t>
  </si>
  <si>
    <t>试验入选/排除标准</t>
  </si>
  <si>
    <t>ti.sas7bdat</t>
  </si>
  <si>
    <t>试验概要</t>
  </si>
  <si>
    <t>ts.sas7bdat</t>
  </si>
  <si>
    <t>试验访视</t>
  </si>
  <si>
    <t>tv.sas7bdat</t>
  </si>
  <si>
    <t>人口学数据</t>
  </si>
  <si>
    <t>dm.sas</t>
  </si>
  <si>
    <t>dm.sas7bdat</t>
  </si>
  <si>
    <t>收集人口学数据</t>
  </si>
  <si>
    <t>dc.sas</t>
  </si>
  <si>
    <t>dc.sas7bdat</t>
  </si>
  <si>
    <t>受试者元素</t>
  </si>
  <si>
    <t>se.sas</t>
  </si>
  <si>
    <t>se.sas7bdat</t>
  </si>
  <si>
    <t>受试者访视</t>
  </si>
  <si>
    <t>sv.sas</t>
  </si>
  <si>
    <t>sv.sas7bdat</t>
  </si>
  <si>
    <t>既往和合并用药</t>
  </si>
  <si>
    <t>cm.sas</t>
  </si>
  <si>
    <t>cm.sas7bdat</t>
  </si>
  <si>
    <t>huaqm</t>
  </si>
  <si>
    <t>心血管系统检查结果</t>
  </si>
  <si>
    <t>cv.sas</t>
  </si>
  <si>
    <t>cv.sas7bdat</t>
  </si>
  <si>
    <t>暴露采集</t>
  </si>
  <si>
    <t>ec.sas</t>
  </si>
  <si>
    <t>ec.sas7bdat</t>
  </si>
  <si>
    <t>暴露</t>
  </si>
  <si>
    <t>ex.sas</t>
  </si>
  <si>
    <t>ex.sas7bdat</t>
  </si>
  <si>
    <t>过程</t>
  </si>
  <si>
    <t>pr.sas</t>
  </si>
  <si>
    <t>pr.sas7bdat</t>
  </si>
  <si>
    <t>yangy102</t>
  </si>
  <si>
    <t>嗜好品使用</t>
  </si>
  <si>
    <t>su.sas</t>
  </si>
  <si>
    <t>su.sas7bdat</t>
  </si>
  <si>
    <t>不良事件</t>
  </si>
  <si>
    <t>ae.sas</t>
  </si>
  <si>
    <t>ae.sas7bdat</t>
  </si>
  <si>
    <t>xiat</t>
  </si>
  <si>
    <t>临床事件</t>
  </si>
  <si>
    <t>ce.sas</t>
  </si>
  <si>
    <t>ce.sas7bdat</t>
  </si>
  <si>
    <t>wanyj</t>
  </si>
  <si>
    <t>处置</t>
  </si>
  <si>
    <t>ds.sas</t>
  </si>
  <si>
    <t>ds.sas7bdat</t>
  </si>
  <si>
    <t>方案偏离</t>
  </si>
  <si>
    <t>dv.sas</t>
  </si>
  <si>
    <t>dv.sas7bdat</t>
  </si>
  <si>
    <t>既往病史</t>
  </si>
  <si>
    <t>mh.sas</t>
  </si>
  <si>
    <t>mh.sas7bdat</t>
  </si>
  <si>
    <t>死亡详细信息</t>
  </si>
  <si>
    <t>dd.sas</t>
  </si>
  <si>
    <t>dd.sas7bdat</t>
  </si>
  <si>
    <t>心电图检查结果</t>
  </si>
  <si>
    <t>eg.sas</t>
  </si>
  <si>
    <t>eg.sas7bdat</t>
  </si>
  <si>
    <t>未符合入选/排除标准记录</t>
  </si>
  <si>
    <t>ie.sas</t>
  </si>
  <si>
    <t>ie.sas7bdat</t>
  </si>
  <si>
    <t>实验室检查结果</t>
  </si>
  <si>
    <t>lb.sas</t>
  </si>
  <si>
    <t>lb.sas7bdat</t>
  </si>
  <si>
    <t>微生物标本</t>
  </si>
  <si>
    <t>mb.sas</t>
  </si>
  <si>
    <t>mb.sas7bdat</t>
  </si>
  <si>
    <t>微观发现</t>
  </si>
  <si>
    <t>mi.sas</t>
  </si>
  <si>
    <t>mi.sas7bdat</t>
  </si>
  <si>
    <t>体格检查</t>
  </si>
  <si>
    <t>pe.sas</t>
  </si>
  <si>
    <t>pe.sas7bdat</t>
  </si>
  <si>
    <t>疾病效应/状态评估</t>
  </si>
  <si>
    <t>rs.sas</t>
  </si>
  <si>
    <t>rs.sas7bdat</t>
  </si>
  <si>
    <t>受试者状态</t>
  </si>
  <si>
    <t>ss.sas</t>
  </si>
  <si>
    <t>ss.sas7bdat</t>
  </si>
  <si>
    <t>肿瘤/病灶测量</t>
  </si>
  <si>
    <t>tr.sas</t>
  </si>
  <si>
    <t>tr.sas7bdat</t>
  </si>
  <si>
    <t>肿瘤/病灶标识</t>
  </si>
  <si>
    <t>tu.sas</t>
  </si>
  <si>
    <t>tu.sas7bdat</t>
  </si>
  <si>
    <t>生命体征</t>
  </si>
  <si>
    <t>vs.sas</t>
  </si>
  <si>
    <t>vs.sas7bdat</t>
  </si>
  <si>
    <t>药代动力学浓度</t>
  </si>
  <si>
    <t>pc.sas</t>
  </si>
  <si>
    <t>pc.sas7bdat</t>
  </si>
  <si>
    <t>免疫原性标本评估</t>
  </si>
  <si>
    <t>is.sas</t>
  </si>
  <si>
    <t>is.sas7bdat</t>
  </si>
  <si>
    <t>调查问卷</t>
  </si>
  <si>
    <t>qs.sas</t>
  </si>
  <si>
    <t>qs.sas7bdat</t>
  </si>
  <si>
    <t>不良事件分析数据集</t>
  </si>
  <si>
    <t>adae.sas7bdat</t>
  </si>
  <si>
    <t>方案偏离分析数据集</t>
  </si>
  <si>
    <t>addv.sas7bdat</t>
  </si>
  <si>
    <t>给药信息分析数据集</t>
  </si>
  <si>
    <t>adex.sas7bdat</t>
  </si>
  <si>
    <t>药物暴露汇总分析数据集</t>
  </si>
  <si>
    <t>adexsum.sas7bdat</t>
  </si>
  <si>
    <t>实验室检查分析数据集</t>
  </si>
  <si>
    <t>adlb.sas7bdat</t>
  </si>
  <si>
    <t>调查问卷分析数据集</t>
  </si>
  <si>
    <t>adqs.sas7bdat</t>
  </si>
  <si>
    <t>免疫原性分析数据集</t>
  </si>
  <si>
    <t>adis.sas7bdat</t>
  </si>
  <si>
    <t>免疫原性汇总分析数据集</t>
  </si>
  <si>
    <t>adissum.sas7bdat</t>
  </si>
  <si>
    <t>药代动力学浓度分析数据集</t>
  </si>
  <si>
    <t>adpc.sas7bdat</t>
  </si>
  <si>
    <t>肿瘤评估分析数据集</t>
  </si>
  <si>
    <t>adrs.sas7bdat</t>
  </si>
  <si>
    <t>受试者水平分析数据集</t>
  </si>
  <si>
    <t>adsl.sas7bdat</t>
  </si>
  <si>
    <t>受试者周期分析数据集</t>
  </si>
  <si>
    <t>adsubj.sas7bdat</t>
  </si>
  <si>
    <t>肿瘤评估相关有效性指标分析数据集</t>
  </si>
  <si>
    <t>adslrs.sas7bdat</t>
  </si>
  <si>
    <t>肿瘤测量结果数据集</t>
  </si>
  <si>
    <t>adtr.sas7bdat</t>
  </si>
  <si>
    <t>至事件发生时间分析数据集</t>
  </si>
  <si>
    <t>adtte.sas7bdat</t>
  </si>
  <si>
    <t>既往病史分析数据集</t>
  </si>
  <si>
    <t>admh.sas7bdat</t>
  </si>
  <si>
    <t>过程分析数据集</t>
  </si>
  <si>
    <t>adpr.sas7bdat</t>
  </si>
  <si>
    <t>既往和合并用药分析数据集</t>
  </si>
  <si>
    <t>adcm.sas7bdat</t>
  </si>
  <si>
    <t>生命体征分析数据集</t>
  </si>
  <si>
    <t>advs.sas7bdat</t>
  </si>
  <si>
    <t>激素使用分析数据集</t>
  </si>
  <si>
    <t>adaehorm.sas7bdat</t>
  </si>
  <si>
    <t>问卷调查至发生时间分析数据集</t>
  </si>
  <si>
    <t>adtteqs.sas7bdat</t>
  </si>
  <si>
    <t>心电图检查分析数据集</t>
  </si>
  <si>
    <t>adeg.sas7bdat</t>
  </si>
  <si>
    <t>Output Type</t>
  </si>
  <si>
    <t>TFL Category</t>
  </si>
  <si>
    <t>Output Number</t>
  </si>
  <si>
    <t>Title</t>
  </si>
  <si>
    <t>RTFName</t>
  </si>
  <si>
    <t>SYSPARM</t>
  </si>
  <si>
    <t>Table</t>
  </si>
  <si>
    <t>受试者分布_x000D_</t>
  </si>
  <si>
    <t>t14-01-001-001-adsl-dsp.rtf</t>
  </si>
  <si>
    <t>t_adsl_dsp.sas</t>
  </si>
  <si>
    <t>v_t_adsl_dsp.sas</t>
  </si>
  <si>
    <t>研究结束情况-EOS (ITT）_x000D_</t>
  </si>
  <si>
    <t>t14-01-001-002-adsl-eos.rtf</t>
  </si>
  <si>
    <t>t_adsl_eos.sas</t>
  </si>
  <si>
    <t>v_t_adsl_eos.sas</t>
  </si>
  <si>
    <t>14.1.1.3</t>
  </si>
  <si>
    <t>治疗结束情况-EOT (ITT) _x000D_</t>
  </si>
  <si>
    <t>t14-01-001-003-adsl-eot.rtf</t>
  </si>
  <si>
    <t>t_adsl_eot.sas</t>
  </si>
  <si>
    <t>v_t_adsl_eot.sas</t>
  </si>
  <si>
    <t>14.1.1.4</t>
  </si>
  <si>
    <t>筛选失败原因_x000D_</t>
  </si>
  <si>
    <t>t14-01-001-004-adsl-scrn.rtf</t>
  </si>
  <si>
    <t>t_adsl_scrn.sas</t>
  </si>
  <si>
    <t>v_t_adsl_scr.sas</t>
  </si>
  <si>
    <t>14.1.1.5</t>
  </si>
  <si>
    <t>重大方案偏离 (ITT)_x000D_</t>
  </si>
  <si>
    <t>14.1.2.1</t>
  </si>
  <si>
    <t>人口学和其他基本特征 (ITT)_x000D_</t>
  </si>
  <si>
    <t>t14-01-002-001-adsl-base.rtf</t>
  </si>
  <si>
    <t>t_adsl_base.sas</t>
  </si>
  <si>
    <t>v_t_adsl_base.sas</t>
  </si>
  <si>
    <t>14.1.2.2</t>
  </si>
  <si>
    <t>肿瘤诊断 (ITT)_x000D_</t>
  </si>
  <si>
    <t>t14-01-002-002-admh-tumor.rtf</t>
  </si>
  <si>
    <t>t_admh_tumor.sas</t>
  </si>
  <si>
    <t>14.1.2.3</t>
  </si>
  <si>
    <t>t14-01-002-003-admh-sum.rtf</t>
  </si>
  <si>
    <t>t_admh_sum.sas</t>
  </si>
  <si>
    <t>14.1.2.4.1</t>
  </si>
  <si>
    <t>既往药物治疗 (SS)_x000D_</t>
  </si>
  <si>
    <t>t14-01-002-004-001-adcm-atcpt1.rtf</t>
  </si>
  <si>
    <t>t_adcm_sum.sas</t>
  </si>
  <si>
    <t>14.1.2.4.2</t>
  </si>
  <si>
    <t>合并药物治疗 (SS)_x000D_</t>
  </si>
  <si>
    <t>t14-01-002-004-002-adcm-atcpt2.rtf</t>
  </si>
  <si>
    <t>14.1.2.4.3</t>
  </si>
  <si>
    <t>既往抗肿瘤治疗史 (ITT)_x000D_</t>
  </si>
  <si>
    <t>t14-01-002-004-003-adpr-tuhis.rtf</t>
  </si>
  <si>
    <t>t_adpr_tuhis.sas</t>
  </si>
  <si>
    <t>14.1.2.4.4</t>
  </si>
  <si>
    <t>后续抗肿瘤治疗 (ITT)_x000D_</t>
  </si>
  <si>
    <t>t14-01-002-004-004-antifu.rtf</t>
  </si>
  <si>
    <t>t_antifu.sas</t>
  </si>
  <si>
    <t>14.1.2.4.5</t>
  </si>
  <si>
    <t>后续系统性抗肿瘤治疗分类总结 (ITT)_x000D_</t>
  </si>
  <si>
    <t>t14-01-002-004-005-adcm-antifu.rtf</t>
  </si>
  <si>
    <t>t_adcm_antifu.sas</t>
  </si>
  <si>
    <t>14.1.2.5</t>
  </si>
  <si>
    <t>随机分层因素 (ITT)_x000D_</t>
  </si>
  <si>
    <t>t14-01-002-005-adsl-strata.rtf</t>
  </si>
  <si>
    <t>t_adsl_strata.sas</t>
  </si>
  <si>
    <t>14.2.1.1.1</t>
  </si>
  <si>
    <t>肿瘤缓解情况总结表-研究者按mRECIST评估 (ITT)</t>
  </si>
  <si>
    <t>t14-02-001-001-001-adslrs-orr-inv-mrecist.rtf</t>
  </si>
  <si>
    <t>t_orr_sum.sas</t>
  </si>
  <si>
    <t>14.2.1.1.2</t>
  </si>
  <si>
    <t>肿瘤缓解情况总结表-IRC按mRECIST评估 (ITT)_x000D_</t>
  </si>
  <si>
    <t>t14-02-001-001-002-adslrs-orr-irc-mrecist.rtf</t>
  </si>
  <si>
    <t>14.2.1.1.3</t>
  </si>
  <si>
    <t>肿瘤缓解情况总结表-研究者按RECIST 1.1评估 (ITT)</t>
  </si>
  <si>
    <t>t14-02-001-001-003-adslrs-orr-inv-recist.rtf</t>
  </si>
  <si>
    <t>14.2.1.1.4</t>
  </si>
  <si>
    <t>肿瘤缓解情况总结表-IRC按RECIST1.1评估 (ITT)_x000D_</t>
  </si>
  <si>
    <t>t14-02-001-001-004-adslrs-orr-irc-recist.rtf</t>
  </si>
  <si>
    <t>v_t_adslrs_orr.sas</t>
  </si>
  <si>
    <t>14.2.1.2.1</t>
  </si>
  <si>
    <t>研究者按mRECIST评估与IRC按mRECCIST评估的最佳疗效对比情况总结表（ITT）</t>
  </si>
  <si>
    <t>t14-02-001-002-001-adslrs-bor-comp.rtf</t>
  </si>
  <si>
    <t>t_adslrs_bor_comp.sas</t>
  </si>
  <si>
    <t>14.2.1.2.2</t>
  </si>
  <si>
    <t>客观缓解情况在研究者按mRECIST评估和IRC按mRECIST评估间的不一致情况 (ITT)_x000D_</t>
  </si>
  <si>
    <t>t14-02-001-002-002-adslrs-bor-diff.rtf</t>
  </si>
  <si>
    <t>t_adslrs_bor_diff.sas</t>
  </si>
  <si>
    <t>14.2.2.1.1</t>
  </si>
  <si>
    <t>客观缓解持续时间情况总结表-研究者按mRECIST评估 (ITT)_x000D_</t>
  </si>
  <si>
    <t>t14-02-002-001-001-adtte-dor-inv-mrecist.rtf</t>
  </si>
  <si>
    <t>t-base-summary.sas</t>
  </si>
  <si>
    <t>14.2.2.1.2</t>
  </si>
  <si>
    <t>客观缓解持续时间情况总结表-IRC按mRECIST评估 (ITT)_x000D_</t>
  </si>
  <si>
    <t>t14-02-002-001-002-adtte-dor-irc-mrecist.rtf</t>
  </si>
  <si>
    <t>14.2.2.1.3</t>
  </si>
  <si>
    <t>客观缓解持续时间情况总结表-研究者按RECIST 1.1评估 (ITT)_x000D_</t>
  </si>
  <si>
    <t>t14-02-002-001-003-adtte-dor-inv-recist.rtf</t>
  </si>
  <si>
    <t>14.2.2.1.4</t>
  </si>
  <si>
    <t>客观缓解持续时间情况总结表-IRC按RECIST 1.1评估 (ITT)_x000D_</t>
  </si>
  <si>
    <t>t14-02-002-001-004-adtte-dor-irc-recist.rtf</t>
  </si>
  <si>
    <t>v_sum_dor.sas</t>
  </si>
  <si>
    <t>Figure</t>
  </si>
  <si>
    <t>14.2.2.2.1</t>
  </si>
  <si>
    <t>客观缓解持续时间的Kaplan-Meier曲线-研究者按mRECIST评估 (ITT)</t>
  </si>
  <si>
    <t>SOURCETA_LISTING^16.2.6.2.2</t>
  </si>
  <si>
    <t>14.2.2.2.2</t>
  </si>
  <si>
    <t>客观缓解持续时间的Kaplan-Meier曲线-IRC按mRECIST评估 (ITT)_x000D_</t>
  </si>
  <si>
    <t>SOURCETA_LISTING^16.2.6.2.1</t>
  </si>
  <si>
    <t>14.2.2.2.3</t>
  </si>
  <si>
    <t>客观缓解持续时间的Kaplan-Meier曲线-研究者按RECIST 1.1评估 (ITT)</t>
  </si>
  <si>
    <t>14.2.2.2.4</t>
  </si>
  <si>
    <t>客观缓解持续时间的Kaplan-Meier曲线-IRC按RECIST 1.1评估 (ITT)_x000D_</t>
  </si>
  <si>
    <t>总生存期情况总结表 (ITT)_x000D_</t>
  </si>
  <si>
    <t>t_adtte_os_sum.sas</t>
  </si>
  <si>
    <t>v_sum_os.sas</t>
  </si>
  <si>
    <t>14.2.3.4</t>
  </si>
  <si>
    <t>14.2.3.5</t>
  </si>
  <si>
    <t>总生存期的Kaplan-Meier曲线 (ITT)_x000D_</t>
  </si>
  <si>
    <t>t_adtte_os_fup.sas</t>
  </si>
  <si>
    <t>总生存期的森林图 (ITT)_x000D_</t>
  </si>
  <si>
    <t>随访时间情况总结表 (ITT)_x000D_</t>
  </si>
  <si>
    <t>14.2.4.1.1</t>
  </si>
  <si>
    <t>无进展生存期情况总结表-研究者按mRECIST评估 (ITT)_x000D_</t>
  </si>
  <si>
    <t>t14-02-004-001-001-adtte-pfs-sum-inv-mrecist.rtf</t>
  </si>
  <si>
    <t>t_adtte_pfs_sum.sas</t>
  </si>
  <si>
    <t>14.2.4.1.2</t>
  </si>
  <si>
    <t>无进展生存期情况总结表-IRC按mRECIST评估 (ITT)_x000D_</t>
  </si>
  <si>
    <t>t14-02-004-001-002-adtte-pfs-sum-irc-mrecist.rtf</t>
  </si>
  <si>
    <t>14.2.4.1.3</t>
  </si>
  <si>
    <t>无进展生存期情况总结表-研究者按RECIST 1.1评估 (ITT)_x000D_</t>
  </si>
  <si>
    <t>t14-02-004-001-003-adtte-pfs-sum-inv-recist.rtf</t>
  </si>
  <si>
    <t>14.2.4.1.4</t>
  </si>
  <si>
    <t>无进展生存期情况总结表-IRC按RECIST 1.1评估 (ITT)_x000D_</t>
  </si>
  <si>
    <t>t14-02-004-001-004-adtte-pfs-sum-irc-recist.rtf</t>
  </si>
  <si>
    <t>v_sum_pfs.sas</t>
  </si>
  <si>
    <t>14.2.4.1.5</t>
  </si>
  <si>
    <t>t_adtte_pfs_sub_sum.sas</t>
  </si>
  <si>
    <t>14.2.4.1.6</t>
  </si>
  <si>
    <t>v_sum_pfs_strata.sas</t>
  </si>
  <si>
    <t>14.2.4.1.7</t>
  </si>
  <si>
    <t>14.2.4.1.8</t>
  </si>
  <si>
    <t>14.2.4.2.1</t>
  </si>
  <si>
    <t>无进展生存期的Kaplan-Meier曲线-研究者按mRECIST评估 (ITT)_x000D_</t>
  </si>
  <si>
    <t>14.2.4.2.2</t>
  </si>
  <si>
    <t>无进展生存期的Kaplan-Meier曲线-IRC按mRECIST评估 (ITT)_x000D_</t>
  </si>
  <si>
    <t>14.2.4.2.3</t>
  </si>
  <si>
    <t>无进展生存期的Kaplan-Meier曲线-研究者按RECIST 1.1评估 (ITT)_x000D_</t>
  </si>
  <si>
    <t>14.2.4.2.4</t>
  </si>
  <si>
    <t>无进展生存期的Kaplan-Meier曲线-IRC按RECIST 1.1评估 (ITT)_x000D_</t>
  </si>
  <si>
    <t>14.2.4.2.5</t>
  </si>
  <si>
    <t>14.2.4.2.6</t>
  </si>
  <si>
    <t>14.2.4.3</t>
  </si>
  <si>
    <t>无进展生存期的森林图-IRC按mRECIST评估 (ITT)_x000D_</t>
  </si>
  <si>
    <t>14.2.6</t>
  </si>
  <si>
    <t>主估计目标伴发事件情况汇总（ITT）</t>
  </si>
  <si>
    <t>14.3.1.1.1</t>
  </si>
  <si>
    <t>治疗期间出现的不良事件(TEAE)概况 (SS)_x000D_</t>
  </si>
  <si>
    <t>v_t_adae_sum.sas</t>
  </si>
  <si>
    <t>14.3.1.1.3.1</t>
  </si>
  <si>
    <t>v_t_adae_soc_pt_ctcae.sas</t>
  </si>
  <si>
    <t>14.3.1.1.3.2</t>
  </si>
  <si>
    <t>14.3.1.1.3.3</t>
  </si>
  <si>
    <t>14.3.1.1.3.4</t>
  </si>
  <si>
    <t>14.3.1.1.3.5</t>
  </si>
  <si>
    <t>14.3.1.1.3.6</t>
  </si>
  <si>
    <t>14.3.1.1.3.7</t>
  </si>
  <si>
    <t>14.3.1.1.3.8</t>
  </si>
  <si>
    <t>14.3.1.1.3.9</t>
  </si>
  <si>
    <t>14.3.1.1.3.10</t>
  </si>
  <si>
    <t>14.3.1.1.3.11</t>
  </si>
  <si>
    <t>14.3.1.1.3.12</t>
  </si>
  <si>
    <t>14.3.1.1.3.13</t>
  </si>
  <si>
    <t>按MedDRA系统器官分类、首选语和最严重CTCAE级别分类汇总CTCAE&gt;=3级的治疗期间出现的不良事件（TEAE）（SS）_x000D_</t>
  </si>
  <si>
    <t>v_t_adae_soc_pt_ctcae_ge3.sas</t>
  </si>
  <si>
    <t>RPTHORIZ^Y@GRADE_VALS^3|4|5|&gt;=3	|3/4</t>
  </si>
  <si>
    <t>14.3.1.1.3.14</t>
  </si>
  <si>
    <t>按MedDRA系统器官分类、首选语和最严重CTCAE级别分类汇总CTCAE&gt;=3级的治疗期间出现的与研究治疗相关的不良事件（SS）_x000D_</t>
  </si>
  <si>
    <t>RPTHORIZ^Y@GRADE_VALS^3|4|5|&gt;=3	|3/4@ADD_REL^relgr4="药物相关"</t>
  </si>
  <si>
    <t>14.3.1.1.3.15</t>
  </si>
  <si>
    <t>按MedDRA系统器官分类、首选语和最严重CTCAE级别分类汇总CTCAE&gt;=3级的治疗期间出现的仅与研究药物相关的不良事件（SS）_x000D_</t>
  </si>
  <si>
    <t>14.3.1.1.3.16</t>
  </si>
  <si>
    <t>按MedDRA系统器官分类、首选语和最严重CTCAE级别分类汇总CTCAE&gt;=3级的治疗期间出现的与卡瑞利珠单抗相关的不良事件（SS）_x000D_</t>
  </si>
  <si>
    <t>RPTHORIZ^Y@GRADE_VALS^3|4|5|&gt;=3	|3/4@ADD_REL^relgr1="药物相关"</t>
  </si>
  <si>
    <t>14.3.1.1.3.17</t>
  </si>
  <si>
    <t>按MedDRA系统器官分类、首选语和最严重CTCAE级别分类汇总CTCAE&gt;=3级的治疗期间出现的与阿帕替尼相关的不良事件（SS）_x000D_</t>
  </si>
  <si>
    <t>RPTHORIZ^Y@GRADE_VALS^3|4|5|&gt;=3	|3/4@ADD_REL^relgr2="药物相关"</t>
  </si>
  <si>
    <t>14.3.1.1.3.18</t>
  </si>
  <si>
    <t>RPTHORIZ^Y@GRADE_VALS^3|4|5|&gt;=3	|3/4@ADD_REL^relgr3="药物相关"</t>
  </si>
  <si>
    <t>14.3.1.1.3.19</t>
  </si>
  <si>
    <t>v_t_adae_sum_ada.sas</t>
  </si>
  <si>
    <t>14.3.1.1.3.20</t>
  </si>
  <si>
    <t>v_t_adae_soc_pt_ctcae_ada.sas</t>
  </si>
  <si>
    <t>G_ARM1^ADA阳性@G_ARM2^ADA阴性</t>
  </si>
  <si>
    <t>14.3.1.1.3.21</t>
  </si>
  <si>
    <t>14.3.2.1</t>
  </si>
  <si>
    <t>死亡情况列表 (SS) _x000D_</t>
  </si>
  <si>
    <t>l-generate.sas</t>
  </si>
  <si>
    <t>14.3.2.2.1</t>
  </si>
  <si>
    <t>严重不良事件情况列表 (SS) _x000D_</t>
  </si>
  <si>
    <t>14.3.2.2.2</t>
  </si>
  <si>
    <t>14.3.2.2.3</t>
  </si>
  <si>
    <t>14.3.2.2.4</t>
  </si>
  <si>
    <t>14.3.2.2.5</t>
  </si>
  <si>
    <t>14.3.2.2.6</t>
  </si>
  <si>
    <t>14.3.2.2.7</t>
  </si>
  <si>
    <t>14.3.2.3.1</t>
  </si>
  <si>
    <t>v_t_adae_soc_pt.sas</t>
  </si>
  <si>
    <t>REP_ACN^aeacn="永久停药"</t>
  </si>
  <si>
    <t>14.3.2.3.2</t>
  </si>
  <si>
    <t>按MedDRA系统器官分类、首选语分类汇总导致卡瑞利珠单抗剂量暂停的不良事件（TEAE）（SS） _x000D_</t>
  </si>
  <si>
    <t>REP_ACN^aeacn="暂停用药"</t>
  </si>
  <si>
    <t>14.3.2.3.3</t>
  </si>
  <si>
    <t>REP_ACN^aeacn="永久停药"@ADD_REL^relgr1="药物相关"</t>
  </si>
  <si>
    <t>14.3.2.3.4</t>
  </si>
  <si>
    <t>按MedDRA系统器官分类、首选语分类汇总导致卡瑞利珠单抗剂量暂停并与卡瑞利珠单抗相关的不良事件（TEAE）（SS） _x000D_</t>
  </si>
  <si>
    <t>REP_ACN^aeacn="暂停用药"@ADD_REL^relgr1="药物相关"</t>
  </si>
  <si>
    <t>14.3.2.3.5</t>
  </si>
  <si>
    <t>REP_ACN^aeacna="永久停药"</t>
  </si>
  <si>
    <t>14.3.2.3.6</t>
  </si>
  <si>
    <t>按MedDRA系统器官分类、首选语分类汇总导致阿帕替尼剂量暂停研究的不良事件（TEAE）（SS） _x000D_</t>
  </si>
  <si>
    <t>REP_ACN^aeacna="暂停用药"</t>
  </si>
  <si>
    <t>14.3.2.3.7</t>
  </si>
  <si>
    <t>按MedDRA系统器官分类、首选语分类汇总导致阿帕替尼剂量减少的不良事件（TEAE）（SS） _x000D_</t>
  </si>
  <si>
    <t>REP_ACN^aeacna="剂量减少"</t>
  </si>
  <si>
    <t>14.3.2.3.8</t>
  </si>
  <si>
    <t>REP_ACN^aeacna="永久停药"@ADD_REL^relgr2="药物相关"</t>
  </si>
  <si>
    <t>14.3.2.3.9</t>
  </si>
  <si>
    <t>按MedDRA系统器官分类、首选语分类汇总导致阿帕替尼剂量暂停并与阿帕替尼相关的不良事件（TEAE）（SS） _x000D_</t>
  </si>
  <si>
    <t>REP_ACN^aeacna="暂停用药"@ADD_REL^relgr2="药物相关"</t>
  </si>
  <si>
    <t>14.3.2.3.10</t>
  </si>
  <si>
    <t>按MedDRA系统器官分类、首选语分类汇总导致阿帕替尼剂量减少并与阿帕替尼相关的不良事件（TEAE）（SS） _x000D_</t>
  </si>
  <si>
    <t>REP_ACN^aeacna="剂量减少"@ADD_REL^relgr2="药物相关"</t>
  </si>
  <si>
    <t>14.3.2.3.11</t>
  </si>
  <si>
    <t>按MedDRA系统器官分类、首选语分类汇总导致任一药物剂量暂停或减少的不良事件（TEAE）（SS） _x000D_</t>
  </si>
  <si>
    <t>REP_ACN^prxmatch("/暂停用药|剂量减少/i", cats(aeacn, aeacna))</t>
  </si>
  <si>
    <t>14.3.2.3.12</t>
  </si>
  <si>
    <t>REP_ACN^prxmatch("/永久停药/i", cats(aeacn, aeacna))</t>
  </si>
  <si>
    <t>14.3.2.3.13</t>
  </si>
  <si>
    <t>14.3.2.3.14</t>
  </si>
  <si>
    <t>14.3.2.3.15</t>
  </si>
  <si>
    <t>按MedDRA系统器官分类、首选语分类汇总导致死亡的不良事件（TEAE）（SS） _x000D_</t>
  </si>
  <si>
    <t>14.3.2.3.16</t>
  </si>
  <si>
    <t xml:space="preserve">按MedDRA系统器官分类、首选语分类汇总导致死亡的与研究治疗相关的不良事件（TEAE）（SS） </t>
  </si>
  <si>
    <t>ADD_REL^relgr4="药物相关"</t>
  </si>
  <si>
    <t>14.3.2.3.17</t>
  </si>
  <si>
    <t>ADD_REL^relgr5="药物相关"</t>
  </si>
  <si>
    <t>14.3.2.3.18</t>
  </si>
  <si>
    <t xml:space="preserve">按MedDRA系统器官分类、首选语分类汇总导致死亡的与TACE相关的不良事件（TEAE）（SS） </t>
  </si>
  <si>
    <t>ADD_REL^relgr3="药物相关"</t>
  </si>
  <si>
    <t>14.3.2.3.19</t>
  </si>
  <si>
    <t>按MedDRA系统器官分类、首选语分类汇总的与免疫相关不良事件（TEAE）（SS） _x000D_</t>
  </si>
  <si>
    <t>14.3.2.3.20</t>
  </si>
  <si>
    <t>特别关注不良事件：CTCAE≥3级的输液反应汇总（SS）</t>
  </si>
  <si>
    <t>t14-03-002-003-020-adae-aesi-1.rtf</t>
  </si>
  <si>
    <t>v_t_adae_inf_sum.sas</t>
  </si>
  <si>
    <t>14.3.2.3.21</t>
  </si>
  <si>
    <t>特别关注不良事件：CTCAE≥3级的毛细血管增生症汇总（SS）_x000D_</t>
  </si>
  <si>
    <t>t14-03-002-003-021-adae-aesi-2.rtf</t>
  </si>
  <si>
    <t>14.3.2.3.22</t>
  </si>
  <si>
    <t>特别关注不良事件：CTCAE≥3级的免疫相关性不良事件汇总（SS）_x000D_</t>
  </si>
  <si>
    <t>t14-03-002-003-022-adae-aesi-3.rtf</t>
  </si>
  <si>
    <t>14.3.2.3.23</t>
  </si>
  <si>
    <t xml:space="preserve">敏感性分析：试验组根据治疗阶段按MedDRA系统器官分类、首选语和最严重CTCAE级别分类汇总治疗期间出现的不良事件（TEAE）（SS）  </t>
  </si>
  <si>
    <t>v_t_adae_soc_pt_ctcae_sens.sas</t>
  </si>
  <si>
    <t>14.3.2.3.24</t>
  </si>
  <si>
    <t xml:space="preserve">敏感性分析：试验组根据治疗阶段按MedDRA系统器官分类、首选语和最严重CTCAE级别分类汇总治疗期间出现的与研究治疗相关的不良事件（TEAE）（SS） </t>
  </si>
  <si>
    <t>14.3.2.3.25</t>
  </si>
  <si>
    <t xml:space="preserve">敏感性分析：试验组根据治疗阶段按MedDRA系统器官分类、首选语和最严重CTCAE级别分类汇总治疗期间出现的仅与研究药物相关的不良事件（TEAE）（SS） </t>
  </si>
  <si>
    <t>14.3.2.3.26</t>
  </si>
  <si>
    <t xml:space="preserve">敏感性分析：试验组根据治疗阶段按MedDRA系统器官分类、首选语和最严重CTCAE级别分类汇总治疗期间出现的与卡瑞利珠单抗相关的不良事件（TEAE）（SS）  </t>
  </si>
  <si>
    <t>14.3.2.3.27</t>
  </si>
  <si>
    <t xml:space="preserve">敏感性分析：试验组根据治疗阶段按MedDRA系统器官分类、首选语和最严重CTCAE级别分类汇总治疗期间出现的与阿帕替尼相关的不良事件（TEAE）（SS）  </t>
  </si>
  <si>
    <t>敏感性分析：试验组根据治疗阶段按MedDRA系统器官分类、首选语和最严重CTCAE级别分类汇总治疗期间出现的与TACE相关的不良事件（TEAE）（SS）  _x000D_</t>
  </si>
  <si>
    <t>14.3.4.1.1.1</t>
  </si>
  <si>
    <t>实验室检查异常发生情况 (SS)_x000D_</t>
  </si>
  <si>
    <t>t14-03-004-001-001-001-adlb-abn.rtf</t>
  </si>
  <si>
    <t>t_adlb_abn.sas</t>
  </si>
  <si>
    <t>14.3.4.1.1.2</t>
  </si>
  <si>
    <t>按最严重的临床意义判断分类汇总基线前后实验室检查结果的转换表 (SS)_x000D_</t>
  </si>
  <si>
    <t>14.3.4.1.1.3</t>
  </si>
  <si>
    <t>按基线后最严重的CTCAE分级分类汇总实验室检查结果 (SS)_x000D_</t>
  </si>
  <si>
    <t>14.3.4.1.1.4</t>
  </si>
  <si>
    <t>按最严重的CTCAE分级分类汇总基线前后实验室检查结果的转换表 (SS)_x000D_</t>
  </si>
  <si>
    <t>t14-03-004-001-001-004-adlb-ctcae-shift.rtf</t>
  </si>
  <si>
    <t>14.3.4.1.2.1</t>
  </si>
  <si>
    <t>潜在Hy’s Law发生情况 (SS)_x000D_</t>
  </si>
  <si>
    <t>t14-03-004-001-002-001-adlb-hylaw.rtf</t>
  </si>
  <si>
    <t>14.3.4.2.1</t>
  </si>
  <si>
    <t>生命体征检查情况(SS)_x000D_</t>
  </si>
  <si>
    <t>t14-03-004-002-001-advs-sum.rtf</t>
  </si>
  <si>
    <t>14.3.4.3.1</t>
  </si>
  <si>
    <t>心电图检查情况 (SS)_x000D_</t>
  </si>
  <si>
    <t>t14-03-004-003-001-adeg-sum.rtf</t>
  </si>
  <si>
    <t>14.3.4.3.2</t>
  </si>
  <si>
    <t>基线后心电图检查结果分类总结  (SS)_x000D_</t>
  </si>
  <si>
    <t>t14-03-004-003-002-adeg-cat-sum.rtf</t>
  </si>
  <si>
    <t>14.3.4.3.3</t>
  </si>
  <si>
    <t>按最严重的临床意义判断分类汇总基线前后ECG检查结果的转换表 (SS)_x000D_</t>
  </si>
  <si>
    <t>t-shift-summary.sas</t>
  </si>
  <si>
    <t>14.3.4.5.2.1</t>
  </si>
  <si>
    <t>EORTC QLQ-C30：完成情况概述（PRO）</t>
  </si>
  <si>
    <t>t14-03-004-005-002-001-adqs-sum-c30.rtf</t>
  </si>
  <si>
    <t>t_adqs_sum.sas</t>
  </si>
  <si>
    <t>14.3.4.5.2.2</t>
  </si>
  <si>
    <t>EORTC QLQ-C30：各领域标准化得分在各访视相对基线变化情况（PRO）_x000D_</t>
  </si>
  <si>
    <t>t14-03-004-005-002-002-adqs-chg-sum-c30.rtf</t>
  </si>
  <si>
    <t>t_adqs_chg_sum.sas</t>
  </si>
  <si>
    <t>14.3.4.5.2.3</t>
  </si>
  <si>
    <t>EORTC QLQ-C30：各领域相对基线变化统计分析结果(MMRM)（PRO）</t>
  </si>
  <si>
    <t>t14-03-004-005-002-003-adqs-mmrm-c30.rtf</t>
  </si>
  <si>
    <t>t_adqs_mmrm.sas</t>
  </si>
  <si>
    <t>14.3.4.5.2.4</t>
  </si>
  <si>
    <t>EORTC QLQ-C30：各领域标准化得分相对基线变化最小二乘均值趋势图(MMRM)（PRO）_x000D_</t>
  </si>
  <si>
    <t>sourceta_table^14.3.4.5.2.3@sourceta_listing^16.2.8.6.1@ref_txt^t_adqs_mmrm_c30.txt</t>
  </si>
  <si>
    <t>14.3.4.5.2.5</t>
  </si>
  <si>
    <t>EORTC QLQ-C30：总健康状况至恶化时间分析结果（PRO）_x000D_</t>
  </si>
  <si>
    <t>t14-03-004-005-002-005-adtteqs-ttd.rtf</t>
  </si>
  <si>
    <t>t_adtteqs_ttd.sas</t>
  </si>
  <si>
    <t>14.3.4.5.2.6</t>
  </si>
  <si>
    <t>EORTC QLQ-C30：总健康状况至恶化时间的Kaplan-Meier曲线（PRO）_x000D_</t>
  </si>
  <si>
    <t>SOURCETA_LISTING^16.2.8.6.1</t>
  </si>
  <si>
    <t>14.3.4.5.3.1</t>
  </si>
  <si>
    <t>EORTC QLQ-HCC18：完成情况概述（PRO）_x000D_</t>
  </si>
  <si>
    <t>t14-03-004-005-003-001-adqs-sum-hcc18.rtf</t>
  </si>
  <si>
    <t>t_adqs_sum</t>
  </si>
  <si>
    <t>14.3.4.5.3.2</t>
  </si>
  <si>
    <t>EORTC QLQ- HCC18：各领域标准化得分在各访视相对基线变化情况（PRO）_x000D_</t>
  </si>
  <si>
    <t>t14-03-004-005-003-002-adqs-chg-sum-hcc18.rtf</t>
  </si>
  <si>
    <t>t_adqs_chg_sum</t>
  </si>
  <si>
    <t>14.3.4.5.3.3</t>
  </si>
  <si>
    <t>EORTC QLQ- HCC18：各领域相对基线变化统计分析结果(MMRM)（PRO）_x000D_</t>
  </si>
  <si>
    <t>t14-03-004-005-003-003-adqs-mmrm-hcc18.rtf</t>
  </si>
  <si>
    <t>14.3.4.5.3.4</t>
  </si>
  <si>
    <t>EORTC QLQ- HCC18：各领域标准化得分相对基线变化最小二乘均值趋势图(MMRM)（PRO）_x000D_</t>
  </si>
  <si>
    <t>sourceta_table^14.3.4.5.3.3@sourceta_listing^16.2.8.6.2@ref_txt^t_adqs_mmrm_hcc18.txt</t>
  </si>
  <si>
    <t>14.3.4.5.4</t>
  </si>
  <si>
    <t>基线前后ECOG体力状况评分的转换表 (ITT)_x000D_</t>
  </si>
  <si>
    <t>t14-03-004-005-004-adrs-ecog-shift.rtf</t>
  </si>
  <si>
    <t>14.4.1</t>
  </si>
  <si>
    <t>药物暴露-卡瑞利珠单抗 (SS)_x000D_</t>
  </si>
  <si>
    <t>t14-04-001-adex-sum1.rtf</t>
  </si>
  <si>
    <t>t_adex_sum.sas</t>
  </si>
  <si>
    <t>v_t_adex_sum1</t>
  </si>
  <si>
    <t>14.4.2</t>
  </si>
  <si>
    <t>药物暴露-阿帕替尼 (SS)_x000D_</t>
  </si>
  <si>
    <t>t14-04-002-adex-sum2.rtf</t>
  </si>
  <si>
    <t>v_t_adex_sum2</t>
  </si>
  <si>
    <t>14.4.3</t>
  </si>
  <si>
    <t>药物暴露-TACE (SS)_x000D_</t>
  </si>
  <si>
    <t>t14-04-003-tace-sum.rtf</t>
  </si>
  <si>
    <t>t_tace_sum.sas</t>
  </si>
  <si>
    <t>v_t_adex_sum3</t>
  </si>
  <si>
    <t>14.4.2.1.1</t>
  </si>
  <si>
    <t>t14-04-002-001-001-adpc-sum-1210.rtf</t>
  </si>
  <si>
    <t>t_adpc_sum.sas</t>
  </si>
  <si>
    <t>14.4.2.1.2</t>
  </si>
  <si>
    <t>t14-04-002-001-002-adpc-sum-aptn.rtf</t>
  </si>
  <si>
    <t>14.4.3.1.1</t>
  </si>
  <si>
    <t>免疫原性(ADA)检查结果描述性总结 (ADAS)_x000D_</t>
  </si>
  <si>
    <t>t14-04-003-001-001-adis-sum-ada.rtf</t>
  </si>
  <si>
    <t>t_adis_sum.sas</t>
  </si>
  <si>
    <t>14.4.3.1.2</t>
  </si>
  <si>
    <t>t14-04-003-001-002-adpc-sum-ada.rtf</t>
  </si>
  <si>
    <t>14.4.3.1.3</t>
  </si>
  <si>
    <t>14.4.3.2</t>
  </si>
  <si>
    <t>免疫原性(Nab)检查结果描述性总结 (ADAS)_x000D_</t>
  </si>
  <si>
    <t>t14-04-003-002-adis-sum-nab.rtf</t>
  </si>
  <si>
    <t>v_t_adissum_sum2.sas</t>
  </si>
  <si>
    <t>Listing</t>
  </si>
  <si>
    <t>16.1.7.2</t>
  </si>
  <si>
    <t>随机治疗分配和实际治疗情况 _x000D_</t>
  </si>
  <si>
    <t>l16-01-007-002-adsl-ex.rtf</t>
  </si>
  <si>
    <t>16.2.1.1</t>
  </si>
  <si>
    <t>受试者信息及分析人群列表_x000D_</t>
  </si>
  <si>
    <t>l16-02-001-001-adsl.rtf</t>
  </si>
  <si>
    <t>16.2.1.2</t>
  </si>
  <si>
    <t>l16-02-001-002-eos.rtf</t>
  </si>
  <si>
    <t>16.2.1.3</t>
  </si>
  <si>
    <t>l16-02-001-003-eot.rtf</t>
  </si>
  <si>
    <t>16.2.2</t>
  </si>
  <si>
    <t>受试者方案偏离情况列表 (ITT)_x000D_</t>
  </si>
  <si>
    <t>16.2.4.1</t>
  </si>
  <si>
    <t>受试者人口学特征列表 (ITT)_x000D_</t>
  </si>
  <si>
    <t>l16-02-004-001-adsl-dm.rtf</t>
  </si>
  <si>
    <t>16.2.4.2</t>
  </si>
  <si>
    <t>受试者肿瘤诊断列表 (ITT)_x000D_</t>
  </si>
  <si>
    <t>l16-02-004-002-admh-tudiag.rtf</t>
  </si>
  <si>
    <t>16.2.4.3</t>
  </si>
  <si>
    <t>受试者既往病史列表 (ITT)_x000D_</t>
  </si>
  <si>
    <t>l16-02-004-003-admh-medhis.rtf</t>
  </si>
  <si>
    <t>16.2.4.4.1.1</t>
  </si>
  <si>
    <t>受试者既往用药列表 (SS)_x000D_</t>
  </si>
  <si>
    <t>l16-02-004-004-001-001-adcm1.rtf</t>
  </si>
  <si>
    <t>16.2.4.4.1.2</t>
  </si>
  <si>
    <t>受试者合并用药列表 (SS)_x000D_</t>
  </si>
  <si>
    <t>l16-02-004-004-001-002-adcm2.rtf</t>
  </si>
  <si>
    <t>16.2.4.4.1.3</t>
  </si>
  <si>
    <t>l16-02-004-004-001-003-adpr1.rtf</t>
  </si>
  <si>
    <t>16.2.4.4.1.4</t>
  </si>
  <si>
    <t>l16-02-004-004-001-004-adpr2.rtf</t>
  </si>
  <si>
    <t>16.2.4.4.2.1</t>
  </si>
  <si>
    <t>受试者既往肿瘤手术史列表 (ITT)_x000D_</t>
  </si>
  <si>
    <t>l16-02-004-004-002-001-adpr3.rtf</t>
  </si>
  <si>
    <t>16.2.4.4.2.2</t>
  </si>
  <si>
    <t>受试者肝癌局部治疗史列表 (ITT)_x000D_</t>
  </si>
  <si>
    <t>l16-02-004-004-002-002-adpr4.rtf</t>
  </si>
  <si>
    <t>16.2.4.4.2.3</t>
  </si>
  <si>
    <t>受试者放疗史列表 (ITT)_x000D_</t>
  </si>
  <si>
    <t>l16-02-004-004-002-003-adpr5.rtf</t>
  </si>
  <si>
    <t>16.2.4.4.2.4</t>
  </si>
  <si>
    <t>受试者后续肿瘤手术列表 (SS)_x000D_</t>
  </si>
  <si>
    <t>l16-02-004-004-002-004-adpr6.rtf</t>
  </si>
  <si>
    <t>16.2.4.4.2.5</t>
  </si>
  <si>
    <t>受试者后续肝癌局部治疗列表 (SS)_x000D_</t>
  </si>
  <si>
    <t>l16-02-004-004-002-005-adpr7.rtf</t>
  </si>
  <si>
    <t>16.2.4.4.2.6</t>
  </si>
  <si>
    <t>受试者后续放疗列表 (SS)_x000D_</t>
  </si>
  <si>
    <t>l16-02-004-004-002-006-adpr8.rtf</t>
  </si>
  <si>
    <t>16.2.4.4.2.7</t>
  </si>
  <si>
    <t>受试者后续系统性新抗肿瘤治疗列表 (ITT)_x000D_</t>
  </si>
  <si>
    <t>l16-02-004-004-002-007-adcm-new.rtf</t>
  </si>
  <si>
    <t>16.2.5.1.1</t>
  </si>
  <si>
    <t>受试者给药情况列表—卡瑞利珠单抗 (SS)_x000D_</t>
  </si>
  <si>
    <t>l16-02-005-001-001-adex-1210.rtf</t>
  </si>
  <si>
    <t>16.2.5.1.2</t>
  </si>
  <si>
    <t>受试者给药情况列表—阿帕替尼 (SS)_x000D_</t>
  </si>
  <si>
    <t>l16-02-005-001-002-adex-aptn.rtf</t>
  </si>
  <si>
    <t>16.2.5.1.3</t>
  </si>
  <si>
    <t>受试者给药剂量强度列表—阿帕替尼 (SS)_x000D_</t>
  </si>
  <si>
    <t>16.2.5.2.1</t>
  </si>
  <si>
    <t>l16-02-005-002-001-adpc-1210.rtf</t>
  </si>
  <si>
    <t>16.2.5.2.2</t>
  </si>
  <si>
    <t>l16-02-005-002-002-adpc-aptn.rtf</t>
  </si>
  <si>
    <t>16.2.5.5</t>
  </si>
  <si>
    <t>免疫原性检测结果列表 (ADAS)_x000D_</t>
  </si>
  <si>
    <t>l16-02-005-005-adis.rtf</t>
  </si>
  <si>
    <t>16.2.6.1.1</t>
  </si>
  <si>
    <t>受试者肿瘤评估数据列表 (BIRC）(ITT)_x000D_</t>
  </si>
  <si>
    <t>l16-02-006-001-001-adrs-irc.rtf</t>
  </si>
  <si>
    <t>16.2.6.1.2</t>
  </si>
  <si>
    <t>受试者肿瘤评估数据列表 (INV）(ITT)_x000D_</t>
  </si>
  <si>
    <t>l16-02-006-001-002-adrs-inv.rtf</t>
  </si>
  <si>
    <t>16.2.6.2.1</t>
  </si>
  <si>
    <t xml:space="preserve">受试者疗效评估数据列表(BIRC按mRECIST评估) (ITT)                                                           </t>
  </si>
  <si>
    <t>16.2.6.2.2</t>
  </si>
  <si>
    <t>受试者疗效评估数据列表(INV按mRECIST评估) (ITT)</t>
  </si>
  <si>
    <t>16.2.7.1</t>
  </si>
  <si>
    <t>受试者不良事件列表 (SS)_x000D_</t>
  </si>
  <si>
    <t>l16-02-007-001-adae.rtf</t>
  </si>
  <si>
    <t>16.2.8.1.1</t>
  </si>
  <si>
    <t>受试者实验室检查异常结果列表 (SS)_x000D_</t>
  </si>
  <si>
    <t>16.2.8.2.1</t>
  </si>
  <si>
    <t>受试者生命体征指标列表 (SS)_x000D_</t>
  </si>
  <si>
    <t>受试者心电图检查结果列表 (SS)_x000D_</t>
  </si>
  <si>
    <t>l16-02-008-003-001-adeg.rtf</t>
  </si>
  <si>
    <t>16.2.8.3.2</t>
  </si>
  <si>
    <t>受试者基线后心电图检查数据分类列表 (SS)_x000D_</t>
  </si>
  <si>
    <t>16.2.8.4</t>
  </si>
  <si>
    <t>体格检查结果列表 (SS)_x000D_</t>
  </si>
  <si>
    <t>l16-02-008-004-adpe.rtf</t>
  </si>
  <si>
    <t>16.2.8.5.1</t>
  </si>
  <si>
    <t>生物标志物列表(SS)_x000D_</t>
  </si>
  <si>
    <t>l16-02-008-005-001-admi.rtf</t>
  </si>
  <si>
    <t>16.2.8.5.2</t>
  </si>
  <si>
    <t>超声心动图列表(SS)_x000D_</t>
  </si>
  <si>
    <t>l16-02-008-005-002-adcv.rtf</t>
  </si>
  <si>
    <t>16.2.8.6.1</t>
  </si>
  <si>
    <t>EORTC QLQ-C30 (PRO)_x000D_</t>
  </si>
  <si>
    <t>16.2.8.6.2</t>
  </si>
  <si>
    <t>EORTC QLQ-HCC18 (PRO)_x000D_</t>
  </si>
  <si>
    <t>l16-02-008-006-002-adqs2.rtf</t>
  </si>
  <si>
    <t>16.2.8.6.3</t>
  </si>
  <si>
    <t>受试者ECOG体力状况列表 (ITT)_x000D_</t>
  </si>
  <si>
    <t>l16-02-008-006-003-adrs-ecog.rtf</t>
  </si>
  <si>
    <t>Name</t>
  </si>
  <si>
    <t>Account</t>
  </si>
  <si>
    <t>Kong,Yangyang</t>
  </si>
  <si>
    <t>Wang,Lin</t>
  </si>
  <si>
    <t>Xia,Tian</t>
  </si>
  <si>
    <t>Hua,Qimin</t>
  </si>
  <si>
    <t>Wan,Yujia</t>
  </si>
  <si>
    <t>Ren,Jianling</t>
  </si>
  <si>
    <t>renjl</t>
  </si>
  <si>
    <t>Ren,Bingqing</t>
  </si>
  <si>
    <t>renb5</t>
  </si>
  <si>
    <t>Tian,Mingyue</t>
  </si>
  <si>
    <t>tianm8</t>
  </si>
  <si>
    <t>Tian, Mingyue</t>
  </si>
  <si>
    <t>Ren, Bingqing</t>
  </si>
  <si>
    <t>Ren, Jianling</t>
  </si>
  <si>
    <t>Hua, Qimin</t>
  </si>
  <si>
    <t>v_t_adslrs_bor_diff</t>
  </si>
  <si>
    <t>v_t_adslrs_bor_comp</t>
    <phoneticPr fontId="46" type="noConversion"/>
  </si>
  <si>
    <t>Programmer</t>
    <phoneticPr fontId="46" type="noConversion"/>
  </si>
  <si>
    <t>t14-03-004-003-003-adeg-shift.rtf</t>
    <phoneticPr fontId="46" type="noConversion"/>
  </si>
  <si>
    <t>t_adqs_mmrm.sas</t>
    <phoneticPr fontId="46" type="noConversion"/>
  </si>
  <si>
    <t>t_adpc_sum_ada.sas</t>
    <phoneticPr fontId="46" type="noConversion"/>
  </si>
  <si>
    <t>EORTC QLQ-C30 (PRO)（续）</t>
  </si>
  <si>
    <t>l16-02-008-006-001-adqs1-1.rtf</t>
    <phoneticPr fontId="46" type="noConversion"/>
  </si>
  <si>
    <t>l16-02-008-006-001-adqs1-2.rtf</t>
  </si>
  <si>
    <t>l16-02-008-006-001-adqs1-3.rtf</t>
  </si>
  <si>
    <t>l16-02-008-006-001-adqs1-4.rtf</t>
  </si>
  <si>
    <t>受试者退出研究情况列表-EOS (ITT)</t>
    <phoneticPr fontId="46" type="noConversion"/>
  </si>
  <si>
    <t>受试者退出治疗情况列表-EOT (ITT)</t>
    <phoneticPr fontId="46" type="noConversion"/>
  </si>
  <si>
    <t>受试者给药剂量强度列表—卡瑞利珠单抗 (SS)</t>
    <phoneticPr fontId="46" type="noConversion"/>
  </si>
  <si>
    <t>v_f_km.sas</t>
    <phoneticPr fontId="46" type="noConversion"/>
  </si>
  <si>
    <t>t14-02-006-adslrs-ce.rtf</t>
    <phoneticPr fontId="46" type="noConversion"/>
  </si>
  <si>
    <t>v_t_adslrs_ce_sum.sas</t>
    <phoneticPr fontId="46" type="noConversion"/>
  </si>
  <si>
    <t>l16-02-006-002-002-adslrs-irc2.rtf</t>
  </si>
  <si>
    <t>l16-02-006-002-002-adslrs-irc1.rtf</t>
    <phoneticPr fontId="46" type="noConversion"/>
  </si>
  <si>
    <t>l16-02-008-002-001-advs.rtf</t>
  </si>
  <si>
    <t>l16-02-008-001-001-adlb-abnormal.rtf</t>
  </si>
  <si>
    <t>l16-02-008-003-002-adeg-cat.rtf</t>
  </si>
  <si>
    <t>v_l_adae_dth.sas</t>
    <phoneticPr fontId="46" type="noConversion"/>
  </si>
  <si>
    <t>v_l_adae.sas</t>
    <phoneticPr fontId="46" type="noConversion"/>
  </si>
  <si>
    <t>EORTC QLQ-C30 (PRO)（续）</t>
    <phoneticPr fontId="46" type="noConversion"/>
  </si>
  <si>
    <t>v_t_adlb_clsig_shift_sum.sas</t>
    <phoneticPr fontId="46" type="noConversion"/>
  </si>
  <si>
    <t>v_t_vseg_chg_sum.sas</t>
    <phoneticPr fontId="46" type="noConversion"/>
  </si>
  <si>
    <t>v_t_adeg_cat.sas</t>
    <phoneticPr fontId="46" type="noConversion"/>
  </si>
  <si>
    <t>v_t_adeg_shift_sum.sas</t>
    <phoneticPr fontId="46" type="noConversion"/>
  </si>
  <si>
    <t>v_t_adrs_ecog_shift_sum.sas</t>
    <phoneticPr fontId="46" type="noConversion"/>
  </si>
  <si>
    <t>t-adlb-shift</t>
  </si>
  <si>
    <t>t14-03-004-001-001-002-adlb-shift.rtf</t>
    <phoneticPr fontId="46" type="noConversion"/>
  </si>
  <si>
    <t>t-adlb-ctcae-shift</t>
  </si>
  <si>
    <t>t_adlb_ctcae_sum.sas</t>
    <phoneticPr fontId="46" type="noConversion"/>
  </si>
  <si>
    <t>v_t_antifu.sas</t>
    <phoneticPr fontId="46" type="noConversion"/>
  </si>
  <si>
    <t>v_t_adlb_hyslaw.sas</t>
    <phoneticPr fontId="46" type="noConversion"/>
  </si>
  <si>
    <t>v_t_adlb_abn_sum.sas</t>
    <phoneticPr fontId="46" type="noConversion"/>
  </si>
  <si>
    <t>kongyy</t>
    <phoneticPr fontId="46" type="noConversion"/>
  </si>
  <si>
    <t>v_t_adsl_strata.sas</t>
    <phoneticPr fontId="46" type="noConversion"/>
  </si>
  <si>
    <t>v_t_admh_tumor.sas</t>
    <phoneticPr fontId="46" type="noConversion"/>
  </si>
  <si>
    <t>v_t_adpr_tuhis.sas</t>
    <phoneticPr fontId="46" type="noConversion"/>
  </si>
  <si>
    <t>t_teae_sum_ada</t>
  </si>
  <si>
    <t>14.2.4.1.9</t>
  </si>
  <si>
    <t>无进展生存期总结表-IRC按mRECIST评估-补充分析-伴发事件处理策略改为按疗法策略汇总(ITT)</t>
    <phoneticPr fontId="46" type="noConversion"/>
  </si>
  <si>
    <t>t-adtte-pfs-adas-sum</t>
  </si>
  <si>
    <t>t14-02-004-001-007-adtte-pfs-ada-sum.rtf</t>
    <phoneticPr fontId="46" type="noConversion"/>
  </si>
  <si>
    <t>t14-02-004-001-008-adtte-pfs-nab-sum.rtf</t>
  </si>
  <si>
    <t>t-adtte-os-adas-sum.sas</t>
    <phoneticPr fontId="46" type="noConversion"/>
  </si>
  <si>
    <t>ARM_TOTAL_FL^y</t>
    <phoneticPr fontId="46" type="noConversion"/>
  </si>
  <si>
    <t>f_km_dor_inv_mrecist</t>
    <phoneticPr fontId="46" type="noConversion"/>
  </si>
  <si>
    <t>f_km_dor_irc_mrecist</t>
    <phoneticPr fontId="46" type="noConversion"/>
  </si>
  <si>
    <t>f_km_dor_inv_recist11</t>
    <phoneticPr fontId="46" type="noConversion"/>
  </si>
  <si>
    <t>f_km_dor_irc_recist11</t>
    <phoneticPr fontId="46" type="noConversion"/>
  </si>
  <si>
    <t>f_km_os</t>
    <phoneticPr fontId="46" type="noConversion"/>
  </si>
  <si>
    <t>f_km_os_nab</t>
    <phoneticPr fontId="46" type="noConversion"/>
  </si>
  <si>
    <t>f_forest_os</t>
    <phoneticPr fontId="46" type="noConversion"/>
  </si>
  <si>
    <t>f_km_os_ada</t>
    <phoneticPr fontId="46" type="noConversion"/>
  </si>
  <si>
    <t>f_km_pfs_inv_mrecist</t>
    <phoneticPr fontId="46" type="noConversion"/>
  </si>
  <si>
    <t>f_km_pfs_irc_mrecist</t>
    <phoneticPr fontId="46" type="noConversion"/>
  </si>
  <si>
    <t>f_km_pfs_inv_recist11</t>
    <phoneticPr fontId="46" type="noConversion"/>
  </si>
  <si>
    <t>f_km_pfs_irc_recist11</t>
    <phoneticPr fontId="46" type="noConversion"/>
  </si>
  <si>
    <t>f_km_pfs_irc_mrecist_ada</t>
    <phoneticPr fontId="46" type="noConversion"/>
  </si>
  <si>
    <t>f_km_pfs_irc_mrecist_nab</t>
    <phoneticPr fontId="46" type="noConversion"/>
  </si>
  <si>
    <t>f_forest_pfs_irc_recist11</t>
    <phoneticPr fontId="46" type="noConversion"/>
  </si>
  <si>
    <t>t_teae_sum</t>
    <phoneticPr fontId="46" type="noConversion"/>
  </si>
  <si>
    <t>t_teae_socpt</t>
    <phoneticPr fontId="46" type="noConversion"/>
  </si>
  <si>
    <t>t_teae_socpt_tr</t>
    <phoneticPr fontId="46" type="noConversion"/>
  </si>
  <si>
    <t>t_teae_socpt_inv</t>
    <phoneticPr fontId="46" type="noConversion"/>
  </si>
  <si>
    <t>t_teae_socpt_cam</t>
    <phoneticPr fontId="46" type="noConversion"/>
  </si>
  <si>
    <t>t_teae_socpt_apt</t>
    <phoneticPr fontId="46" type="noConversion"/>
  </si>
  <si>
    <t>t_teae_socpt_tace</t>
    <phoneticPr fontId="46" type="noConversion"/>
  </si>
  <si>
    <t>t_teae_socpt_ge5</t>
    <phoneticPr fontId="46" type="noConversion"/>
  </si>
  <si>
    <t>t_teae_socpt_ge5_rel</t>
    <phoneticPr fontId="46" type="noConversion"/>
  </si>
  <si>
    <t>t_teae_socpt_ge5_inv_rel</t>
    <phoneticPr fontId="46" type="noConversion"/>
  </si>
  <si>
    <t>t_teae_socpt_ge5_cam_rel</t>
    <phoneticPr fontId="46" type="noConversion"/>
  </si>
  <si>
    <t>t_teae_socpt_ge5_apt_rel</t>
    <phoneticPr fontId="46" type="noConversion"/>
  </si>
  <si>
    <t>t_teae_socpt_ge5_tace_rel</t>
    <phoneticPr fontId="46" type="noConversion"/>
  </si>
  <si>
    <t>t_teae_socpt_ctcge3</t>
    <phoneticPr fontId="46" type="noConversion"/>
  </si>
  <si>
    <t>t_teae_socpt_ctcge3_rel</t>
    <phoneticPr fontId="46" type="noConversion"/>
  </si>
  <si>
    <t>t_teae_socpt_ctcge3_inv_rel</t>
    <phoneticPr fontId="46" type="noConversion"/>
  </si>
  <si>
    <t>t_teae_socpt_ctcge3_cam_rel</t>
    <phoneticPr fontId="46" type="noConversion"/>
  </si>
  <si>
    <t>t_teae_socpt_ctcge3_apt_rel</t>
    <phoneticPr fontId="46" type="noConversion"/>
  </si>
  <si>
    <t>t_teae_socpt_ctcge3_tace_rel</t>
    <phoneticPr fontId="46" type="noConversion"/>
  </si>
  <si>
    <t>t_teae_socpt_ada</t>
    <phoneticPr fontId="46" type="noConversion"/>
  </si>
  <si>
    <t>t_teae_socpt_ctc_ada</t>
    <phoneticPr fontId="46" type="noConversion"/>
  </si>
  <si>
    <t>t_tesae_socpt</t>
    <phoneticPr fontId="46" type="noConversion"/>
  </si>
  <si>
    <t>t_tesae_socpt_tr</t>
    <phoneticPr fontId="46" type="noConversion"/>
  </si>
  <si>
    <t>t_tesae_socpt_inv</t>
    <phoneticPr fontId="46" type="noConversion"/>
  </si>
  <si>
    <t>t_tesae_socpt_cam</t>
    <phoneticPr fontId="46" type="noConversion"/>
  </si>
  <si>
    <t>t_tesae_socpt_apt</t>
    <phoneticPr fontId="46" type="noConversion"/>
  </si>
  <si>
    <t>t_tesae_socpt_tace</t>
    <phoneticPr fontId="46" type="noConversion"/>
  </si>
  <si>
    <t>t_teae_socpt_wd_cam</t>
    <phoneticPr fontId="46" type="noConversion"/>
  </si>
  <si>
    <t>t_teae_socpt_int_cam</t>
    <phoneticPr fontId="46" type="noConversion"/>
  </si>
  <si>
    <t>t_teae_socpt_wd_cam_rel</t>
    <phoneticPr fontId="46" type="noConversion"/>
  </si>
  <si>
    <t>f_qlqhcc18_mmrm</t>
    <phoneticPr fontId="46" type="noConversion"/>
  </si>
  <si>
    <t>f_km_qlqc30</t>
    <phoneticPr fontId="46" type="noConversion"/>
  </si>
  <si>
    <t>f_qlqc30_mmrm</t>
    <phoneticPr fontId="46" type="noConversion"/>
  </si>
  <si>
    <t>t_teae_socpt_tace_sen</t>
    <phoneticPr fontId="46" type="noConversion"/>
  </si>
  <si>
    <t>t_teae_socpt_apt_sen</t>
    <phoneticPr fontId="46" type="noConversion"/>
  </si>
  <si>
    <t>t_teae_socpt_cam_sen</t>
    <phoneticPr fontId="46" type="noConversion"/>
  </si>
  <si>
    <t>t_teae_socpt_inv_sen</t>
    <phoneticPr fontId="46" type="noConversion"/>
  </si>
  <si>
    <t>t_teae_socpt_tr_sen</t>
    <phoneticPr fontId="46" type="noConversion"/>
  </si>
  <si>
    <t>t_teae_socpt_int_cam_rel</t>
    <phoneticPr fontId="46" type="noConversion"/>
  </si>
  <si>
    <t>t_teae_socpt_wd_apt</t>
    <phoneticPr fontId="46" type="noConversion"/>
  </si>
  <si>
    <t>t_teae_socpt_int_apt</t>
    <phoneticPr fontId="46" type="noConversion"/>
  </si>
  <si>
    <t>t_teae_socpt_dr_apt</t>
    <phoneticPr fontId="46" type="noConversion"/>
  </si>
  <si>
    <t>t_teae_socpt_wd_apt_rel</t>
    <phoneticPr fontId="46" type="noConversion"/>
  </si>
  <si>
    <t>t_teae_socpt_int_apt_rel</t>
    <phoneticPr fontId="46" type="noConversion"/>
  </si>
  <si>
    <t>t_teae_socpt_dr_apt_rel</t>
    <phoneticPr fontId="46" type="noConversion"/>
  </si>
  <si>
    <t>t_teae_socpt_intdr</t>
    <phoneticPr fontId="46" type="noConversion"/>
  </si>
  <si>
    <t>t_teae_socpt_wd</t>
    <phoneticPr fontId="46" type="noConversion"/>
  </si>
  <si>
    <t>t_teae_socpt_intdr_rel</t>
    <phoneticPr fontId="46" type="noConversion"/>
  </si>
  <si>
    <t>t_teae_socpt_wd_rel</t>
    <phoneticPr fontId="46" type="noConversion"/>
  </si>
  <si>
    <t>t_teae_socpt_dth</t>
    <phoneticPr fontId="46" type="noConversion"/>
  </si>
  <si>
    <t>t_teae_socpt_dth_inv_rel</t>
    <phoneticPr fontId="46" type="noConversion"/>
  </si>
  <si>
    <t>t_teae_socpt_dth_rel</t>
    <phoneticPr fontId="46" type="noConversion"/>
  </si>
  <si>
    <t>t_teae_socpt_tace_rel</t>
    <phoneticPr fontId="46" type="noConversion"/>
  </si>
  <si>
    <t>t_teae_socpt_immu_rel</t>
    <phoneticPr fontId="46" type="noConversion"/>
  </si>
  <si>
    <t>t_teae_socpt_sen</t>
    <phoneticPr fontId="46" type="noConversion"/>
  </si>
  <si>
    <t>v_t_adlb_ctcae_sum.sas</t>
    <phoneticPr fontId="46" type="noConversion"/>
  </si>
  <si>
    <t>v_t_adlb_ctcae_shift_sum.sas</t>
    <phoneticPr fontId="46" type="noConversion"/>
  </si>
  <si>
    <t>t14-03-004-001-001-003-adlb-ctcae-sum.rtf</t>
    <phoneticPr fontId="46" type="noConversion"/>
  </si>
  <si>
    <t>f_adpc</t>
    <phoneticPr fontId="46" type="noConversion"/>
  </si>
  <si>
    <t>sourceta_table^14.4.3.1.2@sourceta_listing^16.2.5.2.1</t>
    <phoneticPr fontId="46" type="noConversion"/>
  </si>
  <si>
    <t>Submission Type: Dryrun2</t>
    <phoneticPr fontId="46" type="noConversion"/>
  </si>
  <si>
    <t>Snapshot Date: 2025-08-01</t>
    <phoneticPr fontId="46" type="noConversion"/>
  </si>
  <si>
    <t>Ready</t>
  </si>
  <si>
    <t>按MedDRA系统器官分类、首选语分类汇总治疗期间出现的与研究治疗相关的不良事件（TEAE）（SS）</t>
    <phoneticPr fontId="46" type="noConversion"/>
  </si>
  <si>
    <r>
      <t>按MedDRA系统器官分类、首选语</t>
    </r>
    <r>
      <rPr>
        <sz val="11"/>
        <color theme="1"/>
        <rFont val="等线"/>
        <family val="2"/>
        <scheme val="minor"/>
      </rPr>
      <t xml:space="preserve">分类汇总治疗期间出现的仅与研究药物相关的不良事件（TEAE）（SS） </t>
    </r>
    <phoneticPr fontId="46" type="noConversion"/>
  </si>
  <si>
    <r>
      <t>按MedDRA系统器官分类、首选语</t>
    </r>
    <r>
      <rPr>
        <sz val="11"/>
        <color theme="1"/>
        <rFont val="等线"/>
        <family val="2"/>
        <scheme val="minor"/>
      </rPr>
      <t xml:space="preserve">分类汇总治疗期间出现的与卡瑞利珠单抗相关的不良事件（TEAE）（SS） </t>
    </r>
    <phoneticPr fontId="46" type="noConversion"/>
  </si>
  <si>
    <r>
      <t>按MedDRA系统器官分类、首选语</t>
    </r>
    <r>
      <rPr>
        <sz val="11"/>
        <color theme="1"/>
        <rFont val="等线"/>
        <family val="2"/>
        <scheme val="minor"/>
      </rPr>
      <t xml:space="preserve">分类汇总治疗期间出现的与阿帕替尼相关的不良事件（TEAE）（SS） </t>
    </r>
    <phoneticPr fontId="46" type="noConversion"/>
  </si>
  <si>
    <r>
      <t>按MedDRA系统器官分类、首选语</t>
    </r>
    <r>
      <rPr>
        <sz val="11"/>
        <color theme="1"/>
        <rFont val="等线"/>
        <family val="2"/>
        <scheme val="minor"/>
      </rPr>
      <t xml:space="preserve">分类汇总治疗期间出现的发生率≥5%的不良事件（TEAE）（SS） 
</t>
    </r>
    <phoneticPr fontId="46" type="noConversion"/>
  </si>
  <si>
    <t xml:space="preserve">按MedDRA系统器官分类、首选语分类汇总治疗期间出现的发生率≥5%的与卡瑞利珠单抗相关的不良事件（SS） 
</t>
    <phoneticPr fontId="46" type="noConversion"/>
  </si>
  <si>
    <t xml:space="preserve">按MedDRA系统器官分类、首选语分类汇总治疗期间出现的发生率≥5%的与阿帕替尼相关的不良事件（SS） 
</t>
    <phoneticPr fontId="46" type="noConversion"/>
  </si>
  <si>
    <t xml:space="preserve">按MedDRA系统器官分类、首选语分类汇总CTCAE&gt;=3级的治疗期间出现的不良事件（TEAE）（SS） </t>
    <phoneticPr fontId="46" type="noConversion"/>
  </si>
  <si>
    <t>14.3.1.1.3.13.1</t>
    <phoneticPr fontId="46" type="noConversion"/>
  </si>
  <si>
    <t>按MedDRA系统器官分类、首选语分类汇总CTCAE&gt;=3级的治疗期间出现的与研究治疗相关的不良事件（SS）</t>
    <phoneticPr fontId="46" type="noConversion"/>
  </si>
  <si>
    <t>14.3.1.1.3.14.1</t>
    <phoneticPr fontId="46" type="noConversion"/>
  </si>
  <si>
    <t>14.3.1.1.3.18.1</t>
    <phoneticPr fontId="46" type="noConversion"/>
  </si>
  <si>
    <t>按MedDRA系统器官分类、首选语分类汇总治疗期间出现的严重不良事件（TEAE）（SS）</t>
    <phoneticPr fontId="46" type="noConversion"/>
  </si>
  <si>
    <t xml:space="preserve">按MedDRA系统器官分类、首选语分类汇总治疗期间出现的与研究治疗相关的严重不良事件（TEAE）（SS）  
</t>
    <phoneticPr fontId="46" type="noConversion"/>
  </si>
  <si>
    <t xml:space="preserve">按MedDRA系统器官分类、首选语分类汇总治疗期间出现的仅与研究药物相关的严重不良事件（TEAE）（SS）  
</t>
    <phoneticPr fontId="46" type="noConversion"/>
  </si>
  <si>
    <t xml:space="preserve">按MedDRA系统器官分类、首选语分类汇总治疗期间出现的与卡瑞利珠单抗相关的严重不良事件（TEAE）（SS）  
</t>
    <phoneticPr fontId="46" type="noConversion"/>
  </si>
  <si>
    <t xml:space="preserve">按MedDRA系统器官分类、首选语分类汇总治疗期间出现的与阿帕替尼相关的严重不良事件（TEAE）（SS）  
</t>
    <phoneticPr fontId="46" type="noConversion"/>
  </si>
  <si>
    <t xml:space="preserve">受试者既往非药物治疗列表 (SS)
</t>
    <phoneticPr fontId="46" type="noConversion"/>
  </si>
  <si>
    <t xml:space="preserve">受试者合并非药物治疗列表 (SS)
</t>
    <phoneticPr fontId="46" type="noConversion"/>
  </si>
  <si>
    <t>Pass</t>
  </si>
  <si>
    <t>adae.sas</t>
  </si>
  <si>
    <t>addv.sas</t>
  </si>
  <si>
    <t>adex.sas</t>
  </si>
  <si>
    <t>adexsum.sas</t>
  </si>
  <si>
    <t>adlb.sas</t>
  </si>
  <si>
    <t>adqs.sas</t>
  </si>
  <si>
    <t>adis.sas</t>
  </si>
  <si>
    <t>adissum.sas</t>
  </si>
  <si>
    <t>adpc.sas</t>
  </si>
  <si>
    <t>adrs.sas</t>
  </si>
  <si>
    <t>adsl.sas</t>
  </si>
  <si>
    <t>adsubj.sas</t>
  </si>
  <si>
    <t>adslrs.sas</t>
  </si>
  <si>
    <t>adtr.sas</t>
  </si>
  <si>
    <t>adtte.sas</t>
  </si>
  <si>
    <t>admh.sas</t>
  </si>
  <si>
    <t>adpr.sas</t>
  </si>
  <si>
    <t>adcm.sas</t>
  </si>
  <si>
    <t>advs.sas</t>
  </si>
  <si>
    <t>adaehorm.sas</t>
  </si>
  <si>
    <t>adtteqs.sas</t>
  </si>
  <si>
    <t>adeg.sas</t>
  </si>
  <si>
    <t>adcv.sas</t>
    <phoneticPr fontId="46" type="noConversion"/>
  </si>
  <si>
    <t>adcv.sas7bdat</t>
    <phoneticPr fontId="46" type="noConversion"/>
  </si>
  <si>
    <t>kongyy</t>
    <phoneticPr fontId="46" type="noConversion"/>
  </si>
  <si>
    <t>心血管系统检查分析数据集</t>
    <phoneticPr fontId="46" type="noConversion"/>
  </si>
  <si>
    <t>t_teae_ctc_socpt</t>
    <phoneticPr fontId="46" type="noConversion"/>
  </si>
  <si>
    <t>按MedDRA系统器官分类、首选语和最严重CTCAE级别分类汇总治疗期间出现的不良事件（TEAE）（SS）</t>
    <phoneticPr fontId="46" type="noConversion"/>
  </si>
  <si>
    <t>按MedDRA系统器官分类、首选语分类汇总治疗期间出现的不良事件 (TEAE） (SS)</t>
    <phoneticPr fontId="46" type="noConversion"/>
  </si>
  <si>
    <t>RPTHORIZ^Y</t>
  </si>
  <si>
    <t>RPTHORIZ^Y@ADD_REL^relgr4="药物相关"</t>
  </si>
  <si>
    <t>RPTHORIZ^Y@ADD_REL^relgr1="药物相关"</t>
  </si>
  <si>
    <t>RPTHORIZ^Y@ADD_REL^relgr2="药物相关"</t>
  </si>
  <si>
    <t>RPTHORIZ^Y@ADD_REL^relgr3="药物相关"</t>
  </si>
  <si>
    <t>t_teae_ctcge3_socpt</t>
    <phoneticPr fontId="46" type="noConversion"/>
  </si>
  <si>
    <t>t_teae_ctcge3_socpt_rel</t>
    <phoneticPr fontId="46" type="noConversion"/>
  </si>
  <si>
    <t>t_teae_ctcge3_socpt_tace_rel</t>
    <phoneticPr fontId="46" type="noConversion"/>
  </si>
  <si>
    <t>RPTHORIZ^Y@ADD_REL^relgr4="药物相关"</t>
    <phoneticPr fontId="46" type="noConversion"/>
  </si>
  <si>
    <t>RPTHORIZ^Y@ADD_REL^relgr3="药物相关"</t>
    <phoneticPr fontId="46" type="noConversion"/>
  </si>
  <si>
    <t>t_adslrs_ce</t>
  </si>
  <si>
    <t>t_adae_dth</t>
  </si>
  <si>
    <t>t_adae_sae</t>
  </si>
  <si>
    <t>t_adae_aesi_1</t>
  </si>
  <si>
    <t>t_adae_aesi_2</t>
  </si>
  <si>
    <t>t_adae_aesi_3</t>
  </si>
  <si>
    <t>RPTHORIZ^N@ARM_VAR^stage1 stage2@ARMN_VAR^stage1n stage2n@ARM_TOTAL_FL^y@XOVERFL^Y@XOVER_ARM_VAR^stage@XOVER_ARMN_VAR^stagen@G_ARM1^首次TACE后到卡瑞利珠单抗或阿帕替尼给药前@G_ARM2^卡瑞利珠单抗或阿帕替尼给药后@G_ARM3^卡瑞利珠单抗+阿帕替尼+TACE(合计)</t>
  </si>
  <si>
    <t>RPTHORIZ^N@ARM_VAR^stage1 stage2@ARMN_VAR^stage1n stage2n@ARM_TOTAL_FL^y@XOVERFL^Y@XOVER_ARM_VAR^stage@XOVER_ARMN_VAR^stagen@G_ARM1^首次TACE后到卡瑞利珠单抗或阿帕替尼给药前@G_ARM2^卡瑞利珠单抗或阿帕替尼给药后@G_ARM3^卡瑞利珠单抗+阿帕替尼+TACE(合计)@ADD_REL^relgr4="药物相关"</t>
  </si>
  <si>
    <t>RPTHORIZ^N@ARM_VAR^stage1 stage2@ARMN_VAR^stage1n stage2n@ARM_TOTAL_FL^y@XOVERFL^Y@XOVER_ARM_VAR^stage@XOVER_ARMN_VAR^stagen@G_ARM1^首次TACE后到卡瑞利珠单抗或阿帕替尼给药前@G_ARM2^卡瑞利珠单抗或阿帕替尼给药后@G_ARM3^卡瑞利珠单抗+阿帕替尼+TACE(合计)@ADD_REL^relgr1="药物相关"</t>
  </si>
  <si>
    <t>RPTHORIZ^N@ARM_VAR^stage1 stage2@ARMN_VAR^stage1n stage2n@ARM_TOTAL_FL^y@XOVERFL^Y@XOVER_ARM_VAR^stage@XOVER_ARMN_VAR^stagen@G_ARM1^首次TACE后到卡瑞利珠单抗或阿帕替尼给药前@G_ARM2^卡瑞利珠单抗或阿帕替尼给药后@G_ARM3^卡瑞利珠单抗+阿帕替尼+TACE(合计)@ADD_REL^relgr2="药物相关"</t>
  </si>
  <si>
    <t>RPTHORIZ^N@ARM_VAR^stage1 stage2@ARMN_VAR^stage1n stage2n@ARM_TOTAL_FL^y@XOVERFL^Y@XOVER_ARM_VAR^stage@XOVER_ARMN_VAR^stagen@G_ARM1^首次TACE后到卡瑞利珠单抗或阿帕替尼给药前@G_ARM2^卡瑞利珠单抗或阿帕替尼给药后@G_ARM3^卡瑞利珠单抗+阿帕替尼+TACE(合计)@ADD_REL^relgr3="药物相关"</t>
  </si>
  <si>
    <t>RPTHORIZ^N</t>
    <phoneticPr fontId="46" type="noConversion"/>
  </si>
  <si>
    <t xml:space="preserve">按MedDRA系统器官分类、首选语分类汇总导致卡瑞利珠单抗终止治疗的不良事件（TEAE）（SS） 
</t>
  </si>
  <si>
    <t>按MedDRA系统器官分类、首选语分类汇总导致卡瑞利珠单抗终止治疗并与卡瑞利珠单抗相关的不良事件（TEAE）（SS） _x000D_</t>
  </si>
  <si>
    <t>按MedDRA系统器官分类、首选语分类汇总导致阿帕替尼终止治疗的不良事件（TEAE）（SS） _x000D_</t>
  </si>
  <si>
    <t>按MedDRA系统器官分类、首选语分类汇总导致阿帕替尼终止治疗并与阿帕替尼相关的不良事件（TEAE）（SS） _x000D_</t>
  </si>
  <si>
    <t>按MedDRA系统器官分类、首选语分类汇总导致任一药物终止治疗的不良事件（TEAE）（SS） _x000D_</t>
  </si>
  <si>
    <t>v_t_admh_socpt.sas</t>
    <phoneticPr fontId="46" type="noConversion"/>
  </si>
  <si>
    <t>探索性分析按PD-L1水平分组的肿瘤缓解情况总结表-研究者按mRECIST评估 (ITT)_x000D_</t>
  </si>
  <si>
    <t>探索性分析按PD-L1水平分组的肿瘤缓解情况总结表-IRC按mRECIST评估 (ITT)_x000D_</t>
  </si>
  <si>
    <t>14.2.1.1.5</t>
  </si>
  <si>
    <t>14.2.1.1.6</t>
  </si>
  <si>
    <t>总生存期情况总结表-探索性分析PD-L1按TPS分类 (ITT)_x000D_</t>
  </si>
  <si>
    <t>总生存期情况总结表-探索性分析PD-L1按CPS分类 (ITT)_x000D_</t>
  </si>
  <si>
    <t>14.2.3.2</t>
  </si>
  <si>
    <t>14.2.3.3</t>
  </si>
  <si>
    <t>14.2.4.2.7</t>
  </si>
  <si>
    <t>14.3.1.1.2.1</t>
    <phoneticPr fontId="46" type="noConversion"/>
  </si>
  <si>
    <t>无进展生存期情况总结表-IRC按mRECIST评估-探索性分析PD-L1按TPS分类 (ITT)</t>
    <phoneticPr fontId="46" type="noConversion"/>
  </si>
  <si>
    <t>2025-08-20</t>
    <phoneticPr fontId="46" type="noConversion"/>
  </si>
  <si>
    <t>t_adtte_os_sub_sum.sas</t>
    <phoneticPr fontId="46" type="noConversion"/>
  </si>
  <si>
    <t>t14-02-004-001-009-adtte-pfs-sum-irc-mrecist-sup.rtf</t>
    <phoneticPr fontId="46" type="noConversion"/>
  </si>
  <si>
    <t>t14-02-004-001-005-adtte-pfs-sum-inv-mrecist-tps.rtf</t>
    <phoneticPr fontId="46" type="noConversion"/>
  </si>
  <si>
    <t>t14-02-004-001-006-adtte-pfs-sum-irc-mrecist-tps.rtf</t>
    <phoneticPr fontId="46" type="noConversion"/>
  </si>
  <si>
    <t xml:space="preserve">无进展生存期情况总结表-研究者按mRECIST评估-探索性分析PD-L1按TPS分类 (ITT) 
</t>
    <phoneticPr fontId="46" type="noConversion"/>
  </si>
  <si>
    <t>t14-01-001-005-addv-sum.rtf</t>
  </si>
  <si>
    <t>wanyj</t>
    <phoneticPr fontId="46" type="noConversion"/>
  </si>
  <si>
    <t>总生存期情况总结表-补充分析：two-stage方法矫正新抗对于OS的影响 (ITT)</t>
    <phoneticPr fontId="46" type="noConversion"/>
  </si>
  <si>
    <t>14.2.3.8</t>
    <phoneticPr fontId="46" type="noConversion"/>
  </si>
  <si>
    <t>14.2.3.9</t>
    <phoneticPr fontId="46" type="noConversion"/>
  </si>
  <si>
    <t>总生存期的Kaplan-Meier曲线-补充分析：two-stage方法矫正新抗对于OS的影响 (ITT)</t>
    <phoneticPr fontId="46" type="noConversion"/>
  </si>
  <si>
    <t>14.2.3.10</t>
    <phoneticPr fontId="46" type="noConversion"/>
  </si>
  <si>
    <t>14.2.3.11</t>
    <phoneticPr fontId="46" type="noConversion"/>
  </si>
  <si>
    <t>14.2.3.7</t>
    <phoneticPr fontId="46" type="noConversion"/>
  </si>
  <si>
    <t xml:space="preserve">按MedDRA系统器官分类、首选语分类汇总治疗期间出现的发生率≥5%的与研究治疗相关的不良事件（SS） 
</t>
    <phoneticPr fontId="46" type="noConversion"/>
  </si>
  <si>
    <t xml:space="preserve">按MedDRA系统器官分类、首选语分类汇总治疗期间出现的发生率≥5%的仅与研究药物相关的不良事件（SS） 
</t>
    <phoneticPr fontId="46" type="noConversion"/>
  </si>
  <si>
    <t>kongyy</t>
    <phoneticPr fontId="46" type="noConversion"/>
  </si>
  <si>
    <t>t_addv_sum.sas</t>
    <phoneticPr fontId="46" type="noConversion"/>
  </si>
  <si>
    <t>t14-02-001-001-005-adslrs-orr-inv-mrecist-tps.rtf</t>
    <phoneticPr fontId="46" type="noConversion"/>
  </si>
  <si>
    <t>t14-02-001-001-006-adslrs-orr-irc-mrecist-tps.rtf</t>
  </si>
  <si>
    <t>t_orr_sub_sum.sas</t>
    <phoneticPr fontId="46" type="noConversion"/>
  </si>
  <si>
    <t>f_km_os_two_stage</t>
    <phoneticPr fontId="46" type="noConversion"/>
  </si>
  <si>
    <t>2025-08-28</t>
    <phoneticPr fontId="46" type="noConversion"/>
  </si>
  <si>
    <t>t14-02-003-012-adtte-os-fup.rtf</t>
    <phoneticPr fontId="46" type="noConversion"/>
  </si>
  <si>
    <t>表号修改了</t>
    <phoneticPr fontId="46" type="noConversion"/>
  </si>
  <si>
    <t>v_t_addv_ipd.sas</t>
    <phoneticPr fontId="46" type="noConversion"/>
  </si>
  <si>
    <t>v_t_adslrs_orr_sub.sas</t>
    <phoneticPr fontId="46" type="noConversion"/>
  </si>
  <si>
    <t>v_t_sum_os_sub.sas</t>
    <phoneticPr fontId="46" type="noConversion"/>
  </si>
  <si>
    <t>Y</t>
    <phoneticPr fontId="46" type="noConversion"/>
  </si>
  <si>
    <t>Y</t>
    <phoneticPr fontId="46" type="noConversion"/>
  </si>
  <si>
    <t>14.1.1.1</t>
    <phoneticPr fontId="46" type="noConversion"/>
  </si>
  <si>
    <t>14.1.1.2</t>
    <phoneticPr fontId="46" type="noConversion"/>
  </si>
  <si>
    <t>txtname</t>
  </si>
  <si>
    <t>dryrun_list</t>
    <phoneticPr fontId="90" type="noConversion"/>
  </si>
  <si>
    <t>package_list</t>
    <phoneticPr fontId="90" type="noConversion"/>
  </si>
  <si>
    <t>t_adsl_dsp.txt</t>
  </si>
  <si>
    <t>t_adsl_eos.txt</t>
  </si>
  <si>
    <t>t_adsl_eot.txt</t>
  </si>
  <si>
    <t>t_adsl_scrn.txt</t>
  </si>
  <si>
    <t>t_addv_sum.txt</t>
  </si>
  <si>
    <t>t_adsl_base.txt</t>
  </si>
  <si>
    <t>t_admh_tumor.txt</t>
  </si>
  <si>
    <t>t_admh_sum.txt</t>
  </si>
  <si>
    <t>t_adcm_atcpt1.txt</t>
  </si>
  <si>
    <t>t_adcm_atcpt2.txt</t>
  </si>
  <si>
    <t>t_adpr_tuhis.txt</t>
  </si>
  <si>
    <t>t_antifu.txt</t>
  </si>
  <si>
    <t>t_adcm_antifu.txt</t>
  </si>
  <si>
    <t>t_adsl_strata.txt</t>
  </si>
  <si>
    <t>t-adslrs-orr-inv-mrecist.txt</t>
  </si>
  <si>
    <t>t-adslrs-orr-irc-mrecist.txt</t>
  </si>
  <si>
    <t>t-adslrs-orr-inv-recist.txt</t>
  </si>
  <si>
    <t>t-adslrs-orr-irc-recist.txt</t>
  </si>
  <si>
    <t>t-adslrs-orr-inv-mrecist-tps.txt</t>
  </si>
  <si>
    <t>t-adslrs-orr-irc-mrecist-tps.txt</t>
  </si>
  <si>
    <t>t-adslrs-bor-comp.txt</t>
  </si>
  <si>
    <t>t-adslrs-bor-diff.txt</t>
  </si>
  <si>
    <t>t-adtte-dor-inv-mrecist.txt</t>
  </si>
  <si>
    <t>t-adtte-dor-irc-mrecist.txt</t>
  </si>
  <si>
    <t>t-adtte-dor-inv-recist.txt</t>
  </si>
  <si>
    <t>t-adtte-dor-irc-recist.txt</t>
  </si>
  <si>
    <t>f-km-dor-inv-mrecist.txt</t>
  </si>
  <si>
    <t>f-km-dor-irc-mrecist.txt</t>
  </si>
  <si>
    <t>f-km-dor-inv-recist11.txt</t>
  </si>
  <si>
    <t>f-km-dor-irc-recist11.txt</t>
  </si>
  <si>
    <t>t-adtte-os-sum.txt</t>
  </si>
  <si>
    <t>t-adtte-os-sum-tps.txt</t>
  </si>
  <si>
    <t>t-adtte-os-sum-cps.txt</t>
  </si>
  <si>
    <t>t-adtte-os-ada-sum.txt</t>
  </si>
  <si>
    <t>t-adtte-os-nab-sum.txt</t>
  </si>
  <si>
    <t>t-adtte-os2-sum.txt</t>
  </si>
  <si>
    <t>f-km-os.txt</t>
  </si>
  <si>
    <t>f-km-os-ada.txt</t>
  </si>
  <si>
    <t>f-km-os-nab.txt</t>
  </si>
  <si>
    <t>f-km-os-two-stage.txt</t>
  </si>
  <si>
    <t>f-forest-os.txt</t>
  </si>
  <si>
    <t>t-adtte-os-fup.txt</t>
  </si>
  <si>
    <t>t-adtte-pfs-sum-inv-mrecist.txt</t>
  </si>
  <si>
    <t>t-adtte-pfs-sum-irc-mrecist.txt</t>
  </si>
  <si>
    <t>t-adtte-pfs-sum-inv-recist.txt</t>
  </si>
  <si>
    <t>t-adtte-pfs-sum-irc-recist.txt</t>
  </si>
  <si>
    <t>t-adtte-pfs-sum-inv-mrecist-tps.txt</t>
  </si>
  <si>
    <t>t-adtte-pfs-sum-irc-mrecist-tps.txt</t>
  </si>
  <si>
    <t>t-adtte-pfs-ada-sum.txt</t>
  </si>
  <si>
    <t>t-adtte-pfs-nab-sum.txt</t>
  </si>
  <si>
    <t>t-adtte-pfs-sum-irc-mrecist-sup.txt</t>
  </si>
  <si>
    <t>f-km-pfs-inv-mrecist.txt</t>
  </si>
  <si>
    <t>f-km-pfs-irc-mrecist.txt</t>
  </si>
  <si>
    <t>f-km-pfs-inv-recist11.txt</t>
  </si>
  <si>
    <t>f-km-pfs-irc-recist11.txt</t>
  </si>
  <si>
    <t>f-km-pfs-irc-mrecist-ada.txt</t>
  </si>
  <si>
    <t>f-km-pfs-irc-mrecist-nab.txt</t>
  </si>
  <si>
    <t>f-forest-pfs-irc-recist11.txt</t>
  </si>
  <si>
    <t>t_adslrs_ce.txt</t>
  </si>
  <si>
    <t>t-teae-sum.txt</t>
  </si>
  <si>
    <t>t-teae-socpt.txt</t>
  </si>
  <si>
    <t>t-teae-ctc-socpt.txt</t>
  </si>
  <si>
    <t>t-teae-socpt-tr.txt</t>
  </si>
  <si>
    <t>t-teae-socpt-inv.txt</t>
  </si>
  <si>
    <t>t-teae-socpt-cam.txt</t>
  </si>
  <si>
    <t>t-teae-socpt-apt.txt</t>
  </si>
  <si>
    <t>t-teae-socpt-tace.txt</t>
  </si>
  <si>
    <t>t-teae-socpt-ge5.txt</t>
  </si>
  <si>
    <t>t-teae-socpt-ge5-rel.txt</t>
  </si>
  <si>
    <t>t-teae-socpt-ge5-inv-rel.txt</t>
  </si>
  <si>
    <t>t-teae-socpt-ge5-cam-rel.txt</t>
  </si>
  <si>
    <t>t-teae-socpt-ge5-apt-rel.txt</t>
  </si>
  <si>
    <t>t-teae-socpt-ge5-tace-rel.txt</t>
  </si>
  <si>
    <t>t-teae-socpt-ctcge3.txt</t>
  </si>
  <si>
    <t>t-teae-ctcge3-socpt.txt</t>
  </si>
  <si>
    <t>t-teae-socpt-ctcge3-rel.txt</t>
  </si>
  <si>
    <t>t-teae-ctcge3-socpt-rel.txt</t>
  </si>
  <si>
    <t>t-teae-socpt-ctcge3-inv-rel.txt</t>
  </si>
  <si>
    <t>t-teae-socpt-ctcge3-cam-rel.txt</t>
  </si>
  <si>
    <t>t-teae-socpt-ctcge3-apt-rel.txt</t>
  </si>
  <si>
    <t>t-teae-socpt-ctcge3-tace-rel.txt</t>
  </si>
  <si>
    <t>t-teae-ctcge3-socpt-tace-rel.txt</t>
  </si>
  <si>
    <t>t-teae-sum-ada.txt</t>
  </si>
  <si>
    <t>t-teae-socpt-ada.txt</t>
  </si>
  <si>
    <t>t-teae-socpt-ctc-ada.txt</t>
  </si>
  <si>
    <t>t_adae_dth.txt</t>
  </si>
  <si>
    <t>t_adae_sae_l.txt</t>
  </si>
  <si>
    <t>t-tesae-socpt.txt</t>
  </si>
  <si>
    <t>t-tesae-socpt-tr.txt</t>
  </si>
  <si>
    <t>t-tesae-socpt-inv.txt</t>
  </si>
  <si>
    <t>t-tesae-socpt-cam.txt</t>
  </si>
  <si>
    <t>t-tesae-socpt-apt.txt</t>
  </si>
  <si>
    <t>t-tesae-socpt-tace.txt</t>
  </si>
  <si>
    <t>t-teae-socpt-wd-cam.txt</t>
  </si>
  <si>
    <t>t-teae-socpt-int-cam.txt</t>
  </si>
  <si>
    <t>t-teae-socpt-wd-cam-rel.txt</t>
  </si>
  <si>
    <t>t-teae-socpt-int-cam-rel.txt</t>
  </si>
  <si>
    <t>t-teae-socpt-wd-apt.txt</t>
  </si>
  <si>
    <t>t-teae-socpt-int-apt.txt</t>
  </si>
  <si>
    <t>t-teae-socpt-dr-apt.txt</t>
  </si>
  <si>
    <t>t-teae-socpt-wd-apt-rel.txt</t>
  </si>
  <si>
    <t>t-teae-socpt-int-apt-rel.txt</t>
  </si>
  <si>
    <t>t-teae-socpt-dr-apt-rel.txt</t>
  </si>
  <si>
    <t>t-teae-socpt-intdr.txt</t>
  </si>
  <si>
    <t>t-teae-socpt-wd.txt</t>
  </si>
  <si>
    <t>t-teae-socpt-intdr-rel.txt</t>
  </si>
  <si>
    <t>t-teae-socpt-wd-rel.txt</t>
  </si>
  <si>
    <t>t-teae-socpt-dth.txt</t>
  </si>
  <si>
    <t>t-teae-socpt-dth-inv-rel.txt</t>
  </si>
  <si>
    <t>t-teae-socpt-dth-rel.txt</t>
  </si>
  <si>
    <t>t-teae-socpt-tace-rel.txt</t>
  </si>
  <si>
    <t>t-teae-socpt-immu-rel.txt</t>
  </si>
  <si>
    <t>t_adae_aesi_1.txt</t>
  </si>
  <si>
    <t>t_adae_aesi_2.txt</t>
  </si>
  <si>
    <t>t_adae_aesi_3.txt</t>
  </si>
  <si>
    <t>t-teae-socpt-sen.txt</t>
  </si>
  <si>
    <t>t-teae-socpt-tr-sen.txt</t>
  </si>
  <si>
    <t>t-teae-socpt-inv-sen.txt</t>
  </si>
  <si>
    <t>t-teae-socpt-cam-sen.txt</t>
  </si>
  <si>
    <t>t-teae-socpt-apt-sen.txt</t>
  </si>
  <si>
    <t>t-teae-socpt-tace-sen.txt</t>
  </si>
  <si>
    <t>t-adlb-abn.txt</t>
  </si>
  <si>
    <t>t-adlb-shift.txt</t>
  </si>
  <si>
    <t>t-adlb-ctcae-sum.txt</t>
  </si>
  <si>
    <t>t-adlb-ctcae-shift.txt</t>
  </si>
  <si>
    <t>t-adlb-hylaw.txt</t>
  </si>
  <si>
    <t>t-advs-sum.txt</t>
  </si>
  <si>
    <t>t-adeg-sum.txt</t>
  </si>
  <si>
    <t>t-adeg-cat-sum.txt</t>
  </si>
  <si>
    <t>t-adeg-shift.txt</t>
  </si>
  <si>
    <t>t_adqs_sum_c30.txt</t>
  </si>
  <si>
    <t>t_adqs_chg_sum_c30.txt</t>
  </si>
  <si>
    <t>t_adqs_mmrm_c30.txt</t>
  </si>
  <si>
    <t>f-qlqc30-mmrm.txt</t>
  </si>
  <si>
    <t>t_adtteqs_ttd.txt</t>
  </si>
  <si>
    <t>f-km-qlqc30.txt</t>
  </si>
  <si>
    <t>t_adqs_sum_hcc18.txt</t>
  </si>
  <si>
    <t>t_adqs_chg_sum_hcc18.txt</t>
  </si>
  <si>
    <t>t_adqs_mmrm_hcc18.txt</t>
  </si>
  <si>
    <t>f-qlqhcc18-mmrm.txt</t>
  </si>
  <si>
    <t>t-adrs-ecog-shift.txt</t>
  </si>
  <si>
    <t>t_adex_sum1.txt</t>
  </si>
  <si>
    <t>t_adex_sum2.txt</t>
  </si>
  <si>
    <t>t_tace_sum.txt</t>
  </si>
  <si>
    <t>t_adpc_sum_1210.txt</t>
  </si>
  <si>
    <t>t_adpc_sum_aptn.txt</t>
  </si>
  <si>
    <t>t_adis_sum_ada.txt</t>
  </si>
  <si>
    <t>t_adpc_sum_ada.txt</t>
  </si>
  <si>
    <t>f-adpc.txt</t>
  </si>
  <si>
    <t>t_adis_sum_nab.txt</t>
  </si>
  <si>
    <t>l_adsl_ex.txt</t>
  </si>
  <si>
    <t>l_adsl.txt</t>
  </si>
  <si>
    <t>l_eos.txt</t>
  </si>
  <si>
    <t>l_eot.txt</t>
  </si>
  <si>
    <t>l-addv.txt</t>
  </si>
  <si>
    <t>l_adsl_dm.txt</t>
  </si>
  <si>
    <t>l_admh_tudiag.txt</t>
  </si>
  <si>
    <t>l_admh_medhis.txt</t>
  </si>
  <si>
    <t>l_adcm1.txt</t>
  </si>
  <si>
    <t>l_adcm2.txt</t>
  </si>
  <si>
    <t>l_adpr1.txt</t>
  </si>
  <si>
    <t>l_adpr2.txt</t>
  </si>
  <si>
    <t>l_adpr3.txt</t>
  </si>
  <si>
    <t>l_adpr4.txt</t>
  </si>
  <si>
    <t>l_adpr5.txt</t>
  </si>
  <si>
    <t>l_adpr6.txt</t>
  </si>
  <si>
    <t>l_adpr7.txt</t>
  </si>
  <si>
    <t>l_adpr8.txt</t>
  </si>
  <si>
    <t>l_adcm_new.txt</t>
  </si>
  <si>
    <t>l_adex_1210.txt</t>
  </si>
  <si>
    <t>l_adex_aptn.txt</t>
  </si>
  <si>
    <t>l_adexsum_1210.txt</t>
  </si>
  <si>
    <t>l_adexsum_aptn.txt</t>
  </si>
  <si>
    <t>l_adpc_1210.txt</t>
  </si>
  <si>
    <t>l_adpc_aptn.txt</t>
  </si>
  <si>
    <t>l_adis.txt</t>
  </si>
  <si>
    <t>l_adrs_irc.txt</t>
  </si>
  <si>
    <t>l_adrs_inv.txt</t>
  </si>
  <si>
    <t>l_adslrs_irc1.txt</t>
  </si>
  <si>
    <t>l_adslrs_irc2.txt</t>
  </si>
  <si>
    <t>l_adae.txt</t>
  </si>
  <si>
    <t>l-adlb-abnormal.txt</t>
  </si>
  <si>
    <t>l-advs.txt</t>
  </si>
  <si>
    <t>l-adeg.txt</t>
  </si>
  <si>
    <t>l-adeg-cat.txt</t>
  </si>
  <si>
    <t>l-adpe.txt</t>
  </si>
  <si>
    <t>l-admi.txt</t>
  </si>
  <si>
    <t>l-adcv.txt</t>
  </si>
  <si>
    <t>l-adqs1_4.txt</t>
  </si>
  <si>
    <t>l-adrs-ecog.txt</t>
  </si>
  <si>
    <t>f14-02-003-010-km-os-two-stage.rtf</t>
    <phoneticPr fontId="46" type="noConversion"/>
  </si>
  <si>
    <t>f14-02-003-011-forest-os.rtf</t>
    <phoneticPr fontId="46" type="noConversion"/>
  </si>
  <si>
    <t>t14-03-001-001-003-010-teae-socpt-ge5-cam-rel.rtf</t>
    <phoneticPr fontId="46" type="noConversion"/>
  </si>
  <si>
    <t>t14-03-001-001-003-011-teae-socpt-ge5-apt-rel.rtf</t>
    <phoneticPr fontId="46" type="noConversion"/>
  </si>
  <si>
    <t>t14-03-001-001-003-012-teae-socpt-ge5-tace-rel.rtf</t>
    <phoneticPr fontId="46" type="noConversion"/>
  </si>
  <si>
    <t>t14-03-001-001-003-013-teae-socpt-ctcge3.rtf</t>
    <phoneticPr fontId="46" type="noConversion"/>
  </si>
  <si>
    <t>t14-03-001-001-003-013-001-teae-ctcge3-socpt.rtf</t>
    <phoneticPr fontId="46" type="noConversion"/>
  </si>
  <si>
    <t>t14-03-001-001-003-014-teae-socpt-ctcge3-rel.rtf</t>
    <phoneticPr fontId="46" type="noConversion"/>
  </si>
  <si>
    <t>t14-03-001-001-003-014-001-teae-ctcge3-socpt-rel.rtf</t>
    <phoneticPr fontId="46" type="noConversion"/>
  </si>
  <si>
    <t>t14-03-001-001-003-015-teae-socpt-ctcge3-inv-rel.rtf</t>
    <phoneticPr fontId="46" type="noConversion"/>
  </si>
  <si>
    <t>t14-03-001-001-003-016-teae-socpt-ctcge3-cam-rel.rtf</t>
    <phoneticPr fontId="46" type="noConversion"/>
  </si>
  <si>
    <t>t14-03-001-001-003-017-teae-socpt-ctcge3-apt-rel.rtf</t>
    <phoneticPr fontId="46" type="noConversion"/>
  </si>
  <si>
    <t>t14-03-001-001-003-018-teae-socpt-ctcge3-tace-rel.rtf</t>
    <phoneticPr fontId="46" type="noConversion"/>
  </si>
  <si>
    <t>t14-03-001-001-003-018-001-teae-ctcge3-socpt-tace-rel.rtf</t>
    <phoneticPr fontId="46" type="noConversion"/>
  </si>
  <si>
    <t>t14-03-001-001-003-019-teae-sum-ada.rtf</t>
    <phoneticPr fontId="46" type="noConversion"/>
  </si>
  <si>
    <t>t14-03-001-001-003-020-teae-socpt-ada.rtf</t>
    <phoneticPr fontId="46" type="noConversion"/>
  </si>
  <si>
    <t>t14-03-001-001-003-021-teae-socpt-ctc-ada.rtf</t>
    <phoneticPr fontId="46" type="noConversion"/>
  </si>
  <si>
    <t>t14-03-002-003-010-teae-socpt-dr-apt-rel.rtf</t>
    <phoneticPr fontId="46" type="noConversion"/>
  </si>
  <si>
    <t>t14-03-002-003-011-teae-socpt-intdr.rtf</t>
    <phoneticPr fontId="46" type="noConversion"/>
  </si>
  <si>
    <t>t14-03-002-003-012-teae-socpt-wd.rtf</t>
    <phoneticPr fontId="46" type="noConversion"/>
  </si>
  <si>
    <t>t14-03-002-003-013-teae-socpt-intdr-rel.rtf</t>
    <phoneticPr fontId="46" type="noConversion"/>
  </si>
  <si>
    <t>t14-03-002-003-014-teae-socpt-wd-rel.rtf</t>
    <phoneticPr fontId="46" type="noConversion"/>
  </si>
  <si>
    <t>t14-03-002-003-015-teae-socpt-dth.rtf</t>
    <phoneticPr fontId="46" type="noConversion"/>
  </si>
  <si>
    <t>t14-03-002-003-016-teae-socpt-dth-inv-rel.rtf</t>
    <phoneticPr fontId="46" type="noConversion"/>
  </si>
  <si>
    <t>t14-03-002-003-017-teae-socpt-dth-rel.rtf</t>
    <phoneticPr fontId="46" type="noConversion"/>
  </si>
  <si>
    <t>t14-03-002-003-018-teae-socpt-tace-rel.rtf</t>
    <phoneticPr fontId="46" type="noConversion"/>
  </si>
  <si>
    <t>t14-03-002-003-019-teae-socpt-immu-rel.rtf</t>
    <phoneticPr fontId="46" type="noConversion"/>
  </si>
  <si>
    <t>t14-03-002-003-023-teae-socpt-sen.rtf</t>
    <phoneticPr fontId="46" type="noConversion"/>
  </si>
  <si>
    <t>t14-03-002-003-024-teae-socpt-tr-sen.rtf</t>
    <phoneticPr fontId="46" type="noConversion"/>
  </si>
  <si>
    <t>t14-03-002-003-025-teae-socpt-inv-sen.rtf</t>
    <phoneticPr fontId="46" type="noConversion"/>
  </si>
  <si>
    <t>t14-03-002-003-026-teae-socpt-cam-sen.rtf</t>
    <phoneticPr fontId="46" type="noConversion"/>
  </si>
  <si>
    <t>t14-03-002-003-027-teae-socpt-apt-sen.rtf</t>
    <phoneticPr fontId="46" type="noConversion"/>
  </si>
  <si>
    <t>Y</t>
    <phoneticPr fontId="46" type="noConversion"/>
  </si>
  <si>
    <t>QC_LOG</t>
    <phoneticPr fontId="46" type="noConversion"/>
  </si>
  <si>
    <t>l16-02-002-addv.rtf</t>
    <phoneticPr fontId="46" type="noConversion"/>
  </si>
  <si>
    <t>REP_ACN^prxmatch("/暂停用药|剂量减少/i", cats(aeacn, aeacna))@ADD_REL^relgr5="药物相关"</t>
    <phoneticPr fontId="46" type="noConversion"/>
  </si>
  <si>
    <t>REP_ACN^prxmatch("/永久停药/i", cats(aeacn, aeacna))@ADD_REL^relgr5="药物相关"</t>
    <phoneticPr fontId="46" type="noConversion"/>
  </si>
  <si>
    <t xml:space="preserve">按MedDRA系统器官分类、首选语分类汇总导致任一药物剂量暂停或减少的与研究药物相关的不良事件（TEAE）（SS） 
</t>
    <phoneticPr fontId="46" type="noConversion"/>
  </si>
  <si>
    <t xml:space="preserve">按MedDRA系统器官分类、首选语分类汇总导致任一药物终止治疗的与研究药物相关的不良事件（TEAE）（SS） 
</t>
    <phoneticPr fontId="46" type="noConversion"/>
  </si>
  <si>
    <t>14.2.3.12</t>
    <phoneticPr fontId="46" type="noConversion"/>
  </si>
  <si>
    <t>Y</t>
    <phoneticPr fontId="46" type="noConversion"/>
  </si>
  <si>
    <t>Topline</t>
    <phoneticPr fontId="46" type="noConversion"/>
  </si>
  <si>
    <t>闭门会议(IDMC)</t>
    <phoneticPr fontId="46" type="noConversion"/>
  </si>
  <si>
    <t>v_t_adae_soc_pt.sas</t>
    <phoneticPr fontId="46" type="noConversion"/>
  </si>
  <si>
    <t>v_t_adae_soc_pt_trt1.sas</t>
    <phoneticPr fontId="46" type="noConversion"/>
  </si>
  <si>
    <t>v_t_adae_soc_pt_ctcae_ge3_trt1.sas</t>
    <phoneticPr fontId="46" type="noConversion"/>
  </si>
  <si>
    <r>
      <t>epoch</t>
    </r>
    <r>
      <rPr>
        <sz val="10"/>
        <color theme="1"/>
        <rFont val="微软雅黑"/>
        <family val="2"/>
        <charset val="134"/>
      </rPr>
      <t>有几条不一致，忽略</t>
    </r>
    <phoneticPr fontId="46" type="noConversion"/>
  </si>
  <si>
    <t>Manual QC</t>
    <phoneticPr fontId="46" type="noConversion"/>
  </si>
  <si>
    <t>14.2.4.1.10</t>
  </si>
  <si>
    <t>14.2.4.1.11</t>
  </si>
  <si>
    <t xml:space="preserve">无进展生存期情况总结表-研究者按mRECIST评估 (mITT)
</t>
    <phoneticPr fontId="46" type="noConversion"/>
  </si>
  <si>
    <t xml:space="preserve">无进展生存期情况总结表-IRC按mRECIST评估 (mITT)
</t>
    <phoneticPr fontId="46" type="noConversion"/>
  </si>
  <si>
    <t xml:space="preserve">总生存期情况总结表 (mITT)
</t>
    <phoneticPr fontId="46" type="noConversion"/>
  </si>
  <si>
    <t>2025/11/10</t>
    <phoneticPr fontId="46" type="noConversion"/>
  </si>
  <si>
    <t>2025/11/11</t>
    <phoneticPr fontId="46" type="noConversion"/>
  </si>
  <si>
    <t>Y</t>
    <phoneticPr fontId="46" type="noConversion"/>
  </si>
  <si>
    <t>14.2.4.2.8</t>
  </si>
  <si>
    <t xml:space="preserve">疾病进展在研究者评估和IRC评估间的不一致情况-mRECIST评估 (ITT)
</t>
    <phoneticPr fontId="46" type="noConversion"/>
  </si>
  <si>
    <t xml:space="preserve">疾病进展在研究者评估和IRC评估间的不一致情况-RECIST 1.1评估 (ITT)
</t>
    <phoneticPr fontId="46" type="noConversion"/>
  </si>
  <si>
    <t>Y</t>
    <phoneticPr fontId="46" type="noConversion"/>
  </si>
  <si>
    <t>t14-02-004-002-007-adslrs-pd-diff-mrecist.rtf</t>
    <phoneticPr fontId="46" type="noConversion"/>
  </si>
  <si>
    <t>t14-02-004-002-008-adslrs-pd-diff-recist.rtf</t>
    <phoneticPr fontId="46" type="noConversion"/>
  </si>
  <si>
    <t>t-adtte-os-sum-mitt.txt</t>
  </si>
  <si>
    <t>t-adtte-pfs-sum-inv-mrecist-mitt.txt</t>
  </si>
  <si>
    <t>t-adtte-pfs-sum-irc-mrecist-mitt.txt</t>
  </si>
  <si>
    <t>t-adslrs-pd-diff-mrecist.txt</t>
    <phoneticPr fontId="46" type="noConversion"/>
  </si>
  <si>
    <t>t-adslrs-pd-diff-recist.txt</t>
  </si>
  <si>
    <t xml:space="preserve">既往病史 (ITT)
</t>
    <phoneticPr fontId="46" type="noConversion"/>
  </si>
  <si>
    <t>t-adslrs-pd-diff-mrecist</t>
  </si>
  <si>
    <t>t-adslrs-pd-diff-recist</t>
  </si>
  <si>
    <t>2025-11-17</t>
    <phoneticPr fontId="46" type="noConversion"/>
  </si>
  <si>
    <t>2025-11-17</t>
    <phoneticPr fontId="46" type="noConversion"/>
  </si>
  <si>
    <t>v_f_km_ada.sas</t>
    <phoneticPr fontId="46" type="noConversion"/>
  </si>
  <si>
    <t>2025-11-14</t>
    <phoneticPr fontId="46" type="noConversion"/>
  </si>
  <si>
    <t>v_sum_os.sas</t>
    <phoneticPr fontId="46" type="noConversion"/>
  </si>
  <si>
    <t>manual qc</t>
    <phoneticPr fontId="46" type="noConversion"/>
  </si>
  <si>
    <t>2025-11-17</t>
    <phoneticPr fontId="46" type="noConversion"/>
  </si>
  <si>
    <t>v_sum_pfs_strata.sas</t>
    <phoneticPr fontId="46" type="noConversion"/>
  </si>
  <si>
    <t>v_sum_os_strata_ada.sas</t>
    <phoneticPr fontId="46" type="noConversion"/>
  </si>
  <si>
    <t>v_sum_pfs_strata_ada.sas</t>
    <phoneticPr fontId="46" type="noConversion"/>
  </si>
  <si>
    <t>v_sum_pfs.sas</t>
    <phoneticPr fontId="46" type="noConversion"/>
  </si>
  <si>
    <t>v_t_adqs_complete_sum.sas</t>
    <phoneticPr fontId="46" type="noConversion"/>
  </si>
  <si>
    <t>v_t_adqs_score_sum.sas</t>
    <phoneticPr fontId="46" type="noConversion"/>
  </si>
  <si>
    <t>v_t_adqs_mmrm.sas</t>
    <phoneticPr fontId="46" type="noConversion"/>
  </si>
  <si>
    <t>v_adtteqs_tte.sas</t>
    <phoneticPr fontId="46" type="noConversion"/>
  </si>
  <si>
    <t>v_t_adqs_mmrm2.sas</t>
    <phoneticPr fontId="46" type="noConversion"/>
  </si>
  <si>
    <t>v_t_adpc_sum.sas</t>
    <phoneticPr fontId="46" type="noConversion"/>
  </si>
  <si>
    <t>v_t_adissum_sum.sas</t>
    <phoneticPr fontId="46" type="noConversion"/>
  </si>
  <si>
    <t>v_t_adpc_sum_sub.sas</t>
    <phoneticPr fontId="46" type="noConversion"/>
  </si>
  <si>
    <t>t14-02-004-001-010-adtte-pfs-sum-inv-mrecist-mitt.rtf</t>
    <phoneticPr fontId="46" type="noConversion"/>
  </si>
  <si>
    <t>t14-02-004-001-011-adtte-pfs-sum-irc-mrecist-mitt.rtf</t>
    <phoneticPr fontId="46" type="noConversion"/>
  </si>
  <si>
    <t>14.2.4.4</t>
  </si>
  <si>
    <t xml:space="preserve">无进展生存期的森林图-IRC按RECIST 1.1评估 (ITT)
</t>
    <phoneticPr fontId="46" type="noConversion"/>
  </si>
  <si>
    <t>f_forest_pfs_irc_mrecist</t>
    <phoneticPr fontId="46" type="noConversion"/>
  </si>
  <si>
    <t>f-forest-pfs-irc-mrecist.txt</t>
    <phoneticPr fontId="46" type="noConversion"/>
  </si>
  <si>
    <t>v_l_adpr4.sas</t>
    <phoneticPr fontId="46" type="noConversion"/>
  </si>
  <si>
    <t>v_l_adpr5.sas</t>
    <phoneticPr fontId="46" type="noConversion"/>
  </si>
  <si>
    <t>v_l_adpr6.sas</t>
    <phoneticPr fontId="46" type="noConversion"/>
  </si>
  <si>
    <t>v_l_adcm_new.sas</t>
    <phoneticPr fontId="46" type="noConversion"/>
  </si>
  <si>
    <t>v_l_adex_1210.sas</t>
    <phoneticPr fontId="46" type="noConversion"/>
  </si>
  <si>
    <t>v_l_adex_aptn.sas</t>
    <phoneticPr fontId="46" type="noConversion"/>
  </si>
  <si>
    <t>v_l_adexsum.sas</t>
    <phoneticPr fontId="46" type="noConversion"/>
  </si>
  <si>
    <t>v_l_adpc.sas</t>
    <phoneticPr fontId="46" type="noConversion"/>
  </si>
  <si>
    <t>v_l_adis.sas</t>
    <phoneticPr fontId="46" type="noConversion"/>
  </si>
  <si>
    <t>l-generate.sas</t>
    <phoneticPr fontId="46" type="noConversion"/>
  </si>
  <si>
    <t>2025-11-11</t>
    <phoneticPr fontId="46" type="noConversion"/>
  </si>
  <si>
    <t>Pass</t>
    <phoneticPr fontId="46" type="noConversion"/>
  </si>
  <si>
    <t>v_t_adsl_fup.sas</t>
    <phoneticPr fontId="46" type="noConversion"/>
  </si>
  <si>
    <t>v_forest_plot.sas</t>
    <phoneticPr fontId="46" type="noConversion"/>
  </si>
  <si>
    <t>v_adslrs_diff.sas</t>
    <phoneticPr fontId="46" type="noConversion"/>
  </si>
  <si>
    <t>2025-11-11</t>
    <phoneticPr fontId="46" type="noConversion"/>
  </si>
  <si>
    <t>2025-11-18</t>
    <phoneticPr fontId="46" type="noConversion"/>
  </si>
  <si>
    <t>2025-11-18</t>
    <phoneticPr fontId="46" type="noConversion"/>
  </si>
  <si>
    <t>RPTHORIZ^Y@ADD_REL^relgr5="药物相关" and relgr3 = "药物不相关"</t>
    <phoneticPr fontId="46" type="noConversion"/>
  </si>
  <si>
    <t>RPTHORIZ^Y@GRADE_VALS^3|4|5|&gt;=3	|3/4@ADD_REL^relgr5="药物相关" and relgr3 = "药物不相关"</t>
    <phoneticPr fontId="46" type="noConversion"/>
  </si>
  <si>
    <t>RPTHORIZ^N@ARM_VAR^stage1 stage2@ARMN_VAR^stage1n stage2n@ARM_TOTAL_FL^y@XOVERFL^Y@XOVER_ARM_VAR^stage@XOVER_ARMN_VAR^stagen@G_ARM1^首次TACE后到卡瑞利珠单抗或阿帕替尼给药前@G_ARM2^卡瑞利珠单抗或阿帕替尼给药后@G_ARM3^卡瑞利珠单抗+阿帕替尼+TACE(合计)@ADD_REL^relgr5="药物相关" and relgr3 = "药物不相关"</t>
    <phoneticPr fontId="46" type="noConversion"/>
  </si>
  <si>
    <t>2025-11-18</t>
    <phoneticPr fontId="46" type="noConversion"/>
  </si>
  <si>
    <t>Pass</t>
    <phoneticPr fontId="46" type="noConversion"/>
  </si>
  <si>
    <t>v_f_km.sas</t>
    <phoneticPr fontId="46" type="noConversion"/>
  </si>
  <si>
    <r>
      <rPr>
        <sz val="10"/>
        <rFont val="微软雅黑"/>
        <family val="2"/>
        <charset val="134"/>
      </rPr>
      <t>整体访视优先用</t>
    </r>
    <r>
      <rPr>
        <sz val="10"/>
        <rFont val="Arial"/>
        <family val="2"/>
      </rPr>
      <t>UN,</t>
    </r>
    <r>
      <rPr>
        <sz val="10"/>
        <rFont val="微软雅黑"/>
        <family val="2"/>
        <charset val="134"/>
      </rPr>
      <t>不收敛用</t>
    </r>
    <r>
      <rPr>
        <sz val="10"/>
        <rFont val="Arial"/>
        <family val="2"/>
      </rPr>
      <t>CS</t>
    </r>
    <r>
      <rPr>
        <sz val="10"/>
        <rFont val="微软雅黑"/>
        <family val="2"/>
        <charset val="134"/>
      </rPr>
      <t>。分访视用</t>
    </r>
    <r>
      <rPr>
        <sz val="10"/>
        <rFont val="Arial"/>
        <family val="2"/>
      </rPr>
      <t>CS.</t>
    </r>
    <phoneticPr fontId="46" type="noConversion"/>
  </si>
  <si>
    <t>t14-03-002-001-adae-dth.rtf</t>
    <phoneticPr fontId="46" type="noConversion"/>
  </si>
  <si>
    <t>t14-03-002-002-001-adae-sae-l.rtf</t>
  </si>
  <si>
    <t>t14-02-003-002-adtte-os-sum-tps.rtf</t>
    <phoneticPr fontId="46" type="noConversion"/>
  </si>
  <si>
    <t>t14-02-003-003-adtte-os-sum-cps.rtf</t>
  </si>
  <si>
    <t>t14-02-003-004-adtte-os-ada-sum.rtf</t>
  </si>
  <si>
    <t>t14-02-003-005-adtte-os-nab-sum.rtf</t>
  </si>
  <si>
    <r>
      <t>按MedDRA系统器官分类、首选语</t>
    </r>
    <r>
      <rPr>
        <sz val="11"/>
        <color theme="1"/>
        <rFont val="等线"/>
        <family val="2"/>
        <scheme val="minor"/>
      </rPr>
      <t>分类汇总治疗期间出现的</t>
    </r>
    <r>
      <rPr>
        <sz val="11"/>
        <color rgb="FFFF0000"/>
        <rFont val="等线"/>
        <family val="3"/>
        <charset val="134"/>
        <scheme val="minor"/>
      </rPr>
      <t>仅</t>
    </r>
    <r>
      <rPr>
        <sz val="11"/>
        <color theme="1"/>
        <rFont val="等线"/>
        <family val="2"/>
        <scheme val="minor"/>
      </rPr>
      <t xml:space="preserve">与TACE相关的不良事件（TEAE）（SS） 
</t>
    </r>
    <phoneticPr fontId="46" type="noConversion"/>
  </si>
  <si>
    <r>
      <t>按MedDRA系统器官分类、首选语分类汇总治疗期间出现的发生率≥5%的</t>
    </r>
    <r>
      <rPr>
        <sz val="11"/>
        <color rgb="FFFF0000"/>
        <rFont val="等线"/>
        <family val="3"/>
        <charset val="134"/>
        <scheme val="minor"/>
      </rPr>
      <t>仅</t>
    </r>
    <r>
      <rPr>
        <sz val="11"/>
        <rFont val="等线"/>
        <family val="3"/>
        <charset val="134"/>
        <scheme val="minor"/>
      </rPr>
      <t xml:space="preserve">与TACE相关的不良事件（SS） 
</t>
    </r>
    <phoneticPr fontId="46" type="noConversion"/>
  </si>
  <si>
    <r>
      <t>按MedDRA系统器官分类、首选语分类汇总CTCAE&gt;=3级的治疗期间出现的</t>
    </r>
    <r>
      <rPr>
        <sz val="11"/>
        <color rgb="FFFF0000"/>
        <rFont val="等线"/>
        <family val="3"/>
        <charset val="134"/>
        <scheme val="minor"/>
      </rPr>
      <t>仅</t>
    </r>
    <r>
      <rPr>
        <sz val="11"/>
        <rFont val="等线"/>
        <family val="3"/>
        <charset val="134"/>
        <scheme val="minor"/>
      </rPr>
      <t>与TACE相关的不良事件（SS）</t>
    </r>
    <phoneticPr fontId="46" type="noConversion"/>
  </si>
  <si>
    <r>
      <t>按MedDRA系统器官分类、首选语分类汇总治疗期间出现的</t>
    </r>
    <r>
      <rPr>
        <sz val="11"/>
        <color rgb="FFFF0000"/>
        <rFont val="等线"/>
        <family val="3"/>
        <charset val="134"/>
        <scheme val="minor"/>
      </rPr>
      <t>仅</t>
    </r>
    <r>
      <rPr>
        <sz val="11"/>
        <color theme="1"/>
        <rFont val="等线"/>
        <family val="2"/>
        <scheme val="minor"/>
      </rPr>
      <t xml:space="preserve">与TACE相关的严重不良事件（TEAE）（SS）  
</t>
    </r>
    <phoneticPr fontId="46" type="noConversion"/>
  </si>
  <si>
    <t>RPTHORIZ^Y@ADD_REL^relgr3="药物相关" and relgr5 = "药物不相关"</t>
    <phoneticPr fontId="46" type="noConversion"/>
  </si>
  <si>
    <r>
      <t>按MedDRA系统器官分类、首选语和最严重CTCAE级别分类汇总CTCAE&gt;=3级的治疗期间出现的</t>
    </r>
    <r>
      <rPr>
        <sz val="11"/>
        <color rgb="FFFF0000"/>
        <rFont val="等线"/>
        <family val="3"/>
        <charset val="134"/>
        <scheme val="minor"/>
      </rPr>
      <t>仅</t>
    </r>
    <r>
      <rPr>
        <sz val="11"/>
        <rFont val="等线"/>
        <family val="3"/>
        <charset val="134"/>
        <scheme val="minor"/>
      </rPr>
      <t>与TACE相关的不良事件（SS）</t>
    </r>
    <phoneticPr fontId="46" type="noConversion"/>
  </si>
  <si>
    <t>v_l_adsl.sas</t>
    <phoneticPr fontId="46" type="noConversion"/>
  </si>
  <si>
    <t>2025-11-19</t>
    <phoneticPr fontId="46" type="noConversion"/>
  </si>
  <si>
    <t>16.2.5.1.4</t>
  </si>
  <si>
    <t>16.2.5.1.5</t>
  </si>
  <si>
    <t>受试者治疗情况列表—TACE (SS)</t>
    <phoneticPr fontId="46" type="noConversion"/>
  </si>
  <si>
    <t>v_l_generate.sas</t>
    <phoneticPr fontId="46" type="noConversion"/>
  </si>
  <si>
    <t>2025-11-20</t>
    <phoneticPr fontId="46" type="noConversion"/>
  </si>
  <si>
    <t>Pass</t>
    <phoneticPr fontId="46" type="noConversion"/>
  </si>
  <si>
    <t>排序问题，可以忽略</t>
    <phoneticPr fontId="46" type="noConversion"/>
  </si>
  <si>
    <t>v_l_adrs.sas</t>
    <phoneticPr fontId="46" type="noConversion"/>
  </si>
  <si>
    <t>2025-11-21</t>
    <phoneticPr fontId="46" type="noConversion"/>
  </si>
  <si>
    <t>v_l_adslrs.sas</t>
    <phoneticPr fontId="46" type="noConversion"/>
  </si>
  <si>
    <t>v_l_adlb.sas</t>
    <phoneticPr fontId="46" type="noConversion"/>
  </si>
  <si>
    <t>Manual QC</t>
    <phoneticPr fontId="46" type="noConversion"/>
  </si>
  <si>
    <t>l16-02-005-001-004-adexsum-1210.rtf</t>
    <phoneticPr fontId="46" type="noConversion"/>
  </si>
  <si>
    <t>l16-02-005-001-005-adexsum-aptn.rtf</t>
    <phoneticPr fontId="46" type="noConversion"/>
  </si>
  <si>
    <t>l16-02-005-001-003-adpr-tace.rtf</t>
    <phoneticPr fontId="46" type="noConversion"/>
  </si>
  <si>
    <t>2025-11-21</t>
    <phoneticPr fontId="46" type="noConversion"/>
  </si>
  <si>
    <t>Pass</t>
    <phoneticPr fontId="46" type="noConversion"/>
  </si>
  <si>
    <t>l16-02-008-006-001-adqs1-5.rtf</t>
  </si>
  <si>
    <t>l16-02-008-006-001-adqs1-6.rtf</t>
  </si>
  <si>
    <t>l16-02-008-006-001-adqs1-7.rtf</t>
  </si>
  <si>
    <t>l16-02-008-006-002-adqs2_1.rtf</t>
    <phoneticPr fontId="46" type="noConversion"/>
  </si>
  <si>
    <t>l16-02-008-006-002-adqs2_2.rtf</t>
    <phoneticPr fontId="46" type="noConversion"/>
  </si>
  <si>
    <t>EORTC QLQ-C30 (PRO)（续）</t>
    <phoneticPr fontId="46" type="noConversion"/>
  </si>
  <si>
    <t xml:space="preserve">EORTC QLQ-HCC18 (PRO)（续）
</t>
    <phoneticPr fontId="46" type="noConversion"/>
  </si>
  <si>
    <t>l16-02-008-006-002-adqs2_3.rtf</t>
    <phoneticPr fontId="46" type="noConversion"/>
  </si>
  <si>
    <t>l-adqs1_1.txt</t>
    <phoneticPr fontId="46" type="noConversion"/>
  </si>
  <si>
    <t>l-adqs1_2.txt</t>
    <phoneticPr fontId="46" type="noConversion"/>
  </si>
  <si>
    <t>l-adqs1_3.txt</t>
    <phoneticPr fontId="46" type="noConversion"/>
  </si>
  <si>
    <t>l-adqs1_5.txt</t>
  </si>
  <si>
    <t>l-adqs1_6.txt</t>
  </si>
  <si>
    <t>l-adqs1_7.txt</t>
  </si>
  <si>
    <t>l-adqs2.txt</t>
    <phoneticPr fontId="46" type="noConversion"/>
  </si>
  <si>
    <t>l-adqs2_1.txt</t>
  </si>
  <si>
    <t>l-adqs2_2.txt</t>
  </si>
  <si>
    <t>l-adqs2_3.txt</t>
  </si>
  <si>
    <t>v_l_adpr_tace.sas</t>
    <phoneticPr fontId="46" type="noConversion"/>
  </si>
  <si>
    <t>2025-11-21</t>
    <phoneticPr fontId="46" type="noConversion"/>
  </si>
  <si>
    <t>2025-11-24</t>
    <phoneticPr fontId="46" type="noConversion"/>
  </si>
  <si>
    <t>v_l_adae_xt.sas</t>
    <phoneticPr fontId="46" type="noConversion"/>
  </si>
  <si>
    <t>v_l_advs.sas</t>
    <phoneticPr fontId="46" type="noConversion"/>
  </si>
  <si>
    <t>2025-11-25</t>
    <phoneticPr fontId="46" type="noConversion"/>
  </si>
  <si>
    <t>v_l_adcv.sas</t>
    <phoneticPr fontId="46" type="noConversion"/>
  </si>
  <si>
    <t>v_l_adeg.sas</t>
    <phoneticPr fontId="46" type="noConversion"/>
  </si>
  <si>
    <t>v_l_adpe.sas</t>
  </si>
  <si>
    <t>v_l_admi.sas</t>
  </si>
  <si>
    <t>16.2.8.3.1</t>
    <phoneticPr fontId="46" type="noConversion"/>
  </si>
  <si>
    <t>体格检查分析数据集</t>
    <phoneticPr fontId="46" type="noConversion"/>
  </si>
  <si>
    <t>adpe.sas</t>
    <phoneticPr fontId="46" type="noConversion"/>
  </si>
  <si>
    <t>adpe.sas7bdat</t>
    <phoneticPr fontId="46" type="noConversion"/>
  </si>
  <si>
    <t>kongyy</t>
    <phoneticPr fontId="46" type="noConversion"/>
  </si>
  <si>
    <t>Pass</t>
    <phoneticPr fontId="46" type="noConversion"/>
  </si>
  <si>
    <t>16.2.3</t>
  </si>
  <si>
    <t>受试者未纳入疗效分析集原因列表</t>
    <phoneticPr fontId="46" type="noConversion"/>
  </si>
  <si>
    <t xml:space="preserve">按MedDRA系统器官分类、首选语分类汇总导致死亡的与研究药物相关的不良事件（TEAE）（SS） </t>
    <phoneticPr fontId="46" type="noConversion"/>
  </si>
  <si>
    <t>14.3.2.3.25</t>
    <phoneticPr fontId="46" type="noConversion"/>
  </si>
  <si>
    <t>14.2.3.1.2</t>
    <phoneticPr fontId="46" type="noConversion"/>
  </si>
  <si>
    <t>14.2.3.1.1</t>
    <phoneticPr fontId="46" type="noConversion"/>
  </si>
  <si>
    <t>t14-02-003-001-001-adtte-os-sum.rtf</t>
    <phoneticPr fontId="46" type="noConversion"/>
  </si>
  <si>
    <t>t14-02-003-001-002-adtte-os-sum-mitt.rtf</t>
    <phoneticPr fontId="46" type="noConversion"/>
  </si>
  <si>
    <t>14.2.3.6.1</t>
    <phoneticPr fontId="46" type="noConversion"/>
  </si>
  <si>
    <t>14.2.3.6.2</t>
    <phoneticPr fontId="46" type="noConversion"/>
  </si>
  <si>
    <t>总生存期情况总结表-补充分析：two-stage方法矫正转组对于OS的影响 (ITT)</t>
    <phoneticPr fontId="46" type="noConversion"/>
  </si>
  <si>
    <t>Pass</t>
    <phoneticPr fontId="46" type="noConversion"/>
  </si>
  <si>
    <t>t-adtte-os3-sum.txt</t>
    <phoneticPr fontId="46" type="noConversion"/>
  </si>
  <si>
    <t>t14-02-003-006-001-adtte-os2-sum.rtf</t>
    <phoneticPr fontId="46" type="noConversion"/>
  </si>
  <si>
    <t>t14-02-003-006-002-adtte-os3-sum.rtf</t>
    <phoneticPr fontId="46" type="noConversion"/>
  </si>
  <si>
    <t>t14-03-002-003-025-teae-socpt-tace-sen.rtf</t>
    <phoneticPr fontId="46" type="noConversion"/>
  </si>
  <si>
    <t>2025-12-09</t>
    <phoneticPr fontId="46" type="noConversion"/>
  </si>
  <si>
    <t>总生存期情况总结表-根据免疫原性状态 (ADA阳性和ADA阴性) 汇总 (ADAS)</t>
    <phoneticPr fontId="46" type="noConversion"/>
  </si>
  <si>
    <t>总生存期情况总结表-根据免疫原性状态 (NAb阳性和NAb阴性) 汇总 (ADAS)</t>
    <phoneticPr fontId="46" type="noConversion"/>
  </si>
  <si>
    <t>总生存期的Kaplan-Meier曲线-根据免疫原性状态 (ADA阳性和ADA阴性) 分组 (ADAS)</t>
    <phoneticPr fontId="46" type="noConversion"/>
  </si>
  <si>
    <t>总生存期的Kaplan-Meier曲线-根据免疫原性状态 (NAB阳性和NAB阴性) 分组 (ADAS)</t>
    <phoneticPr fontId="46" type="noConversion"/>
  </si>
  <si>
    <t>无进展生存期总结表-IRC按MRECIST评估-根据免疫原性状态（ADA阳性和ADA阴性）汇总(ADAS)</t>
    <phoneticPr fontId="46" type="noConversion"/>
  </si>
  <si>
    <t>无进展生存期总结表-IRC按MRECIST评估-根据免疫原性状态（NAB阳性和NAB阴性）汇总(ADAS)</t>
    <phoneticPr fontId="46" type="noConversion"/>
  </si>
  <si>
    <t>无进展生存期的Kaplan-Meier曲线-IRC按mRECIST评估-根据免疫原性状态（ADA阳性和ADA阴性）分组 (ADAS)</t>
    <phoneticPr fontId="46" type="noConversion"/>
  </si>
  <si>
    <t>无进展生存期的Kaplan-Meier曲线-IRC按mRECIST评估-根据免疫原性状态（NAB阳性和NAB阴性）分组 (ADAS)</t>
    <phoneticPr fontId="46" type="noConversion"/>
  </si>
  <si>
    <t>根据免疫原性状态(ADA阳性和ADA阴性) 分组，总结治疗期间出现的不良事件（TEAE）(ADAS)</t>
    <phoneticPr fontId="46" type="noConversion"/>
  </si>
  <si>
    <t>根据免疫原性状态(ADA阳性和ADA阴性) 分组，按MedDRA系统器官分类、首选语分类汇总治疗期间出现的不良事件（TEAE）(ADAS)</t>
    <phoneticPr fontId="46" type="noConversion"/>
  </si>
  <si>
    <t>根据免疫原性状态(ADA阳性和ADA阴性) 分组，按首选语和最严重CTCAE级别分类汇总治疗期间出现的输液相关不良反应（TEAE）(ADAS)</t>
    <phoneticPr fontId="46" type="noConversion"/>
  </si>
  <si>
    <t>按免疫原性状态分组总结各访视时间点SHR-1210血清浓度（μg/ml） (ADAS)</t>
    <phoneticPr fontId="46" type="noConversion"/>
  </si>
  <si>
    <t>按免疫原性状态绘制的SHR-1210平均血清浓度（标准差）（μg/ml）-时间曲线图（线性坐标和对数坐标） (ADAS)</t>
    <phoneticPr fontId="46" type="noConversion"/>
  </si>
  <si>
    <t>l_adpr_tace.txt</t>
    <phoneticPr fontId="46" type="noConversion"/>
  </si>
  <si>
    <t>按治疗组对各时点血浆浓度汇总-阿帕替尼(ng/mL) (PKS)</t>
    <phoneticPr fontId="46" type="noConversion"/>
  </si>
  <si>
    <t>受试者各时点血清浓度列表—卡瑞利珠单抗(PKS)</t>
    <phoneticPr fontId="46" type="noConversion"/>
  </si>
  <si>
    <t>受试者各时点血浆浓度列表—阿帕替尼(PKS)</t>
    <phoneticPr fontId="46" type="noConversion"/>
  </si>
  <si>
    <t>按治疗组对各时点血清浓度汇总-卡瑞利珠单抗(μg/mL) (PKS)</t>
    <phoneticPr fontId="46" type="noConversion"/>
  </si>
  <si>
    <t>14.2.3.7.1</t>
    <phoneticPr fontId="46" type="noConversion"/>
  </si>
  <si>
    <t xml:space="preserve">总生存期的Kaplan-Meier曲线2 (ITT)
</t>
    <phoneticPr fontId="46" type="noConversion"/>
  </si>
  <si>
    <t>f_km_os2</t>
    <phoneticPr fontId="4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</si>
</sst>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5" x14ac:knownFonts="1">
    <font>
      <sz val="11"/>
      <color theme="1"/>
      <name val="等线"/>
      <family val="2"/>
      <charset val="134"/>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2"/>
      <name val="宋体"/>
      <family val="3"/>
      <charset val="134"/>
    </font>
    <font>
      <sz val="12"/>
      <name val="Times New Roman"/>
      <family val="1"/>
    </font>
    <font>
      <b/>
      <sz val="20"/>
      <color indexed="12"/>
      <name val="Times New Roman"/>
      <family val="1"/>
    </font>
    <font>
      <b/>
      <sz val="18"/>
      <name val="Times New Roman"/>
      <family val="1"/>
    </font>
    <font>
      <b/>
      <sz val="24"/>
      <name val="Times New Roman"/>
      <family val="1"/>
    </font>
    <font>
      <b/>
      <sz val="28"/>
      <name val="Times New Roman"/>
      <family val="1"/>
    </font>
    <font>
      <sz val="18"/>
      <name val="Times New Roman"/>
      <family val="1"/>
    </font>
    <font>
      <sz val="14"/>
      <name val="Times New Roman"/>
      <family val="1"/>
    </font>
    <font>
      <sz val="11"/>
      <name val="Times New Roman"/>
      <family val="1"/>
    </font>
    <font>
      <b/>
      <sz val="10"/>
      <name val="Arial"/>
      <family val="2"/>
    </font>
    <font>
      <b/>
      <sz val="10"/>
      <color theme="1"/>
      <name val="Arial"/>
      <family val="2"/>
    </font>
    <font>
      <sz val="10"/>
      <name val="Arial"/>
      <family val="2"/>
    </font>
    <font>
      <sz val="10"/>
      <color theme="1"/>
      <name val="Arial"/>
      <family val="2"/>
    </font>
    <font>
      <u/>
      <sz val="11"/>
      <color theme="10"/>
      <name val="等线"/>
      <family val="2"/>
      <charset val="134"/>
      <scheme val="minor"/>
    </font>
    <font>
      <i/>
      <sz val="10"/>
      <color theme="2" tint="-0.499984740745262"/>
      <name val="Arial"/>
      <family val="2"/>
    </font>
    <font>
      <sz val="11"/>
      <color theme="1"/>
      <name val="等线"/>
      <family val="2"/>
      <charset val="134"/>
      <scheme val="minor"/>
    </font>
    <font>
      <sz val="9"/>
      <name val="等线"/>
      <family val="2"/>
      <charset val="134"/>
      <scheme val="minor"/>
    </font>
    <font>
      <sz val="10"/>
      <color theme="1"/>
      <name val="Calibri"/>
      <family val="2"/>
    </font>
    <font>
      <sz val="10"/>
      <color theme="1"/>
      <name val="宋体"/>
      <family val="3"/>
      <charset val="134"/>
    </font>
    <font>
      <sz val="11"/>
      <color indexed="8"/>
      <name val="宋体"/>
      <family val="3"/>
      <charset val="134"/>
    </font>
    <font>
      <sz val="9"/>
      <name val="Times New Roman"/>
      <family val="1"/>
    </font>
    <font>
      <sz val="11"/>
      <color theme="1"/>
      <name val="等线"/>
      <family val="3"/>
      <charset val="134"/>
      <scheme val="minor"/>
    </font>
    <font>
      <b/>
      <sz val="18"/>
      <color theme="3"/>
      <name val="等线 Light"/>
      <family val="3"/>
      <charset val="134"/>
      <scheme val="major"/>
    </font>
    <font>
      <b/>
      <sz val="15"/>
      <color theme="3"/>
      <name val="等线"/>
      <family val="3"/>
      <charset val="134"/>
      <scheme val="minor"/>
    </font>
    <font>
      <b/>
      <sz val="13"/>
      <color theme="3"/>
      <name val="等线"/>
      <family val="3"/>
      <charset val="134"/>
      <scheme val="minor"/>
    </font>
    <font>
      <b/>
      <sz val="11"/>
      <color theme="3"/>
      <name val="等线"/>
      <family val="3"/>
      <charset val="134"/>
      <scheme val="minor"/>
    </font>
    <font>
      <sz val="11"/>
      <color rgb="FF9C0006"/>
      <name val="等线"/>
      <family val="3"/>
      <charset val="134"/>
      <scheme val="minor"/>
    </font>
    <font>
      <sz val="11"/>
      <color rgb="FF006100"/>
      <name val="等线"/>
      <family val="3"/>
      <charset val="134"/>
      <scheme val="minor"/>
    </font>
    <font>
      <b/>
      <sz val="11"/>
      <color theme="1"/>
      <name val="等线"/>
      <family val="3"/>
      <charset val="134"/>
      <scheme val="minor"/>
    </font>
    <font>
      <b/>
      <sz val="11"/>
      <color rgb="FFFA7D00"/>
      <name val="等线"/>
      <family val="3"/>
      <charset val="134"/>
      <scheme val="minor"/>
    </font>
    <font>
      <b/>
      <sz val="11"/>
      <color theme="0"/>
      <name val="等线"/>
      <family val="3"/>
      <charset val="134"/>
      <scheme val="minor"/>
    </font>
    <font>
      <i/>
      <sz val="11"/>
      <color rgb="FF7F7F7F"/>
      <name val="等线"/>
      <family val="3"/>
      <charset val="134"/>
      <scheme val="minor"/>
    </font>
    <font>
      <sz val="11"/>
      <color rgb="FFFF0000"/>
      <name val="等线"/>
      <family val="3"/>
      <charset val="134"/>
      <scheme val="minor"/>
    </font>
    <font>
      <sz val="11"/>
      <color rgb="FFFA7D00"/>
      <name val="等线"/>
      <family val="3"/>
      <charset val="134"/>
      <scheme val="minor"/>
    </font>
    <font>
      <sz val="11"/>
      <color rgb="FF9C6500"/>
      <name val="等线"/>
      <family val="3"/>
      <charset val="134"/>
      <scheme val="minor"/>
    </font>
    <font>
      <b/>
      <sz val="11"/>
      <color rgb="FF3F3F3F"/>
      <name val="等线"/>
      <family val="3"/>
      <charset val="134"/>
      <scheme val="minor"/>
    </font>
    <font>
      <sz val="11"/>
      <color rgb="FF3F3F76"/>
      <name val="等线"/>
      <family val="3"/>
      <charset val="134"/>
      <scheme val="minor"/>
    </font>
    <font>
      <sz val="11"/>
      <name val="Arial"/>
      <family val="2"/>
    </font>
    <font>
      <sz val="11"/>
      <name val="MYingHei_18030_C-Medium"/>
      <family val="1"/>
      <charset val="134"/>
    </font>
    <font>
      <u/>
      <sz val="11"/>
      <color theme="10"/>
      <name val="宋体"/>
      <family val="3"/>
      <charset val="134"/>
    </font>
    <font>
      <u/>
      <sz val="11"/>
      <color theme="10"/>
      <name val="等线"/>
      <family val="2"/>
      <scheme val="minor"/>
    </font>
    <font>
      <sz val="10"/>
      <name val="Tahoma"/>
      <family val="2"/>
    </font>
    <font>
      <sz val="8"/>
      <color theme="1"/>
      <name val="等线"/>
      <family val="2"/>
      <scheme val="minor"/>
    </font>
    <font>
      <u/>
      <sz val="8.5"/>
      <color indexed="12"/>
      <name val="Arial"/>
      <family val="2"/>
    </font>
    <font>
      <sz val="8"/>
      <name val="Arial"/>
      <family val="2"/>
    </font>
    <font>
      <sz val="11"/>
      <name val="等线"/>
      <family val="3"/>
      <charset val="134"/>
      <scheme val="minor"/>
    </font>
    <font>
      <i/>
      <sz val="10"/>
      <name val="Arial"/>
      <family val="2"/>
    </font>
    <font>
      <sz val="10"/>
      <color theme="1"/>
      <name val="微软雅黑"/>
      <family val="2"/>
      <charset val="134"/>
    </font>
    <font>
      <sz val="11"/>
      <name val="微软雅黑"/>
      <family val="2"/>
      <charset val="134"/>
    </font>
    <font>
      <sz val="11"/>
      <name val="Arial"/>
      <family val="1"/>
      <charset val="134"/>
    </font>
    <font>
      <sz val="10"/>
      <name val="等线"/>
      <family val="3"/>
      <charset val="134"/>
    </font>
    <font>
      <sz val="11"/>
      <color rgb="FF000000"/>
      <name val="等线"/>
      <family val="2"/>
      <scheme val="minor"/>
    </font>
    <font>
      <sz val="10"/>
      <color theme="1"/>
      <name val="Calibri"/>
      <family val="3"/>
      <charset val="134"/>
    </font>
    <font>
      <sz val="10"/>
      <name val="MYingHei_18030_C-Medium"/>
      <family val="1"/>
      <charset val="134"/>
    </font>
    <font>
      <sz val="10.5"/>
      <color theme="1"/>
      <name val="等线"/>
      <family val="3"/>
      <charset val="134"/>
      <scheme val="minor"/>
    </font>
    <font>
      <sz val="10"/>
      <name val="微软雅黑"/>
      <family val="2"/>
      <charset val="134"/>
    </font>
    <font>
      <sz val="10"/>
      <name val="Arial"/>
      <family val="2"/>
      <charset val="134"/>
    </font>
    <font>
      <sz val="11"/>
      <color rgb="FFFF0000"/>
      <name val="等线"/>
      <family val="2"/>
      <scheme val="minor"/>
    </font>
    <font>
      <sz val="10.5"/>
      <color rgb="FFFF0000"/>
      <name val="等线"/>
      <family val="3"/>
      <charset val="134"/>
      <scheme val="minor"/>
    </font>
    <font>
      <b/>
      <sz val="11"/>
      <name val="宋体"/>
      <family val="3"/>
      <charset val="134"/>
    </font>
    <font>
      <sz val="9"/>
      <name val="等线"/>
      <family val="3"/>
      <charset val="134"/>
      <scheme val="minor"/>
    </font>
    <font>
      <b/>
      <sz val="10"/>
      <color theme="1"/>
      <name val="微软雅黑"/>
      <family val="2"/>
      <charset val="134"/>
    </font>
    <font>
      <sz val="11"/>
      <name val="等线"/>
      <family val="2"/>
      <scheme val="minor"/>
    </font>
    <font>
      <sz val="10"/>
      <color theme="1"/>
      <name val="Arial"/>
      <family val="2"/>
      <charset val="134"/>
    </font>
    <font>
      <sz val="11"/>
      <color rgb="FFFF0000"/>
      <name val="等线"/>
      <family val="2"/>
      <charset val="134"/>
      <scheme val="minor"/>
    </font>
  </fonts>
  <fills count="1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rgb="FFFFFFFF"/>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499984740745262"/>
        <bgColor indexed="64"/>
      </patternFill>
    </fill>
    <fill>
      <patternFill patternType="solid">
        <fgColor theme="9"/>
        <bgColor indexed="64"/>
      </patternFill>
    </fill>
    <fill>
      <patternFill patternType="solid">
        <fgColor theme="5"/>
        <bgColor indexed="64"/>
      </patternFill>
    </fill>
    <fill>
      <patternFill patternType="solid">
        <fgColor theme="0" tint="-0.249977111117893"/>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diagonalUp="1">
      <left style="thin">
        <color indexed="64"/>
      </left>
      <right style="thin">
        <color indexed="64"/>
      </right>
      <top style="thin">
        <color indexed="64"/>
      </top>
      <bottom style="thin">
        <color indexed="64"/>
      </bottom>
      <diagonal style="thin">
        <color indexed="64"/>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theme="0" tint="-0.14990691854609822"/>
      </left>
      <right style="thin">
        <color theme="0" tint="-0.14990691854609822"/>
      </right>
      <top style="thin">
        <color theme="0" tint="-0.14993743705557422"/>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diagonal/>
    </border>
  </borders>
  <cellStyleXfs count="735">
    <xf numFmtId="0" fontId="0" fillId="0" borderId="0"/>
    <xf numFmtId="0" fontId="30" fillId="0" borderId="0"/>
    <xf numFmtId="0" fontId="49" fillId="0" borderId="0">
      <alignment vertical="center"/>
    </xf>
    <xf numFmtId="0" fontId="41" fillId="0" borderId="0"/>
    <xf numFmtId="0" fontId="52" fillId="0" borderId="0">
      <alignment vertical="center"/>
    </xf>
    <xf numFmtId="0" fontId="53" fillId="0" borderId="1">
      <alignment vertical="center"/>
    </xf>
    <xf numFmtId="0" fontId="54" fillId="0" borderId="2">
      <alignment vertical="center"/>
    </xf>
    <xf numFmtId="0" fontId="55" fillId="0" borderId="3">
      <alignment vertical="center"/>
    </xf>
    <xf numFmtId="0" fontId="55" fillId="0" borderId="0">
      <alignment vertical="center"/>
    </xf>
    <xf numFmtId="0" fontId="56" fillId="3" borderId="0">
      <alignment vertical="center"/>
    </xf>
    <xf numFmtId="0" fontId="30" fillId="0" borderId="0"/>
    <xf numFmtId="0" fontId="30" fillId="0" borderId="0"/>
    <xf numFmtId="0" fontId="49" fillId="0" borderId="0">
      <alignment vertical="center"/>
    </xf>
    <xf numFmtId="0" fontId="49" fillId="0" borderId="0">
      <alignment vertical="center"/>
    </xf>
    <xf numFmtId="0" fontId="49" fillId="0" borderId="0">
      <alignment vertical="center"/>
    </xf>
    <xf numFmtId="0" fontId="30" fillId="0" borderId="0"/>
    <xf numFmtId="0" fontId="57" fillId="2" borderId="0">
      <alignment vertical="center"/>
    </xf>
    <xf numFmtId="0" fontId="58" fillId="0" borderId="9">
      <alignment vertical="center"/>
    </xf>
    <xf numFmtId="0" fontId="59" fillId="6" borderId="4">
      <alignment vertical="center"/>
    </xf>
    <xf numFmtId="0" fontId="60" fillId="7" borderId="7">
      <alignment vertical="center"/>
    </xf>
    <xf numFmtId="0" fontId="61" fillId="0" borderId="0">
      <alignment vertical="center"/>
    </xf>
    <xf numFmtId="0" fontId="62" fillId="0" borderId="0">
      <alignment vertical="center"/>
    </xf>
    <xf numFmtId="0" fontId="63" fillId="0" borderId="6">
      <alignment vertical="center"/>
    </xf>
    <xf numFmtId="0" fontId="64" fillId="4" borderId="0">
      <alignment vertical="center"/>
    </xf>
    <xf numFmtId="0" fontId="65" fillId="6" borderId="5">
      <alignment vertical="center"/>
    </xf>
    <xf numFmtId="0" fontId="66" fillId="5" borderId="4">
      <alignment vertical="center"/>
    </xf>
    <xf numFmtId="49" fontId="50" fillId="0" borderId="10">
      <alignment horizontal="left" vertical="top" wrapText="1"/>
    </xf>
    <xf numFmtId="0" fontId="51" fillId="8" borderId="8">
      <alignment vertical="center"/>
    </xf>
    <xf numFmtId="0" fontId="43" fillId="0" borderId="0">
      <alignment vertical="center"/>
    </xf>
    <xf numFmtId="0" fontId="49" fillId="0" borderId="0">
      <alignment vertical="center"/>
    </xf>
    <xf numFmtId="0" fontId="49" fillId="0" borderId="0">
      <alignment vertical="center"/>
    </xf>
    <xf numFmtId="0" fontId="29" fillId="0" borderId="0"/>
    <xf numFmtId="0" fontId="51" fillId="8" borderId="8">
      <alignment vertical="center"/>
    </xf>
    <xf numFmtId="0" fontId="49" fillId="0" borderId="0">
      <alignment vertical="center"/>
    </xf>
    <xf numFmtId="0" fontId="69" fillId="0" borderId="0">
      <alignment vertical="center"/>
    </xf>
    <xf numFmtId="0" fontId="29" fillId="0" borderId="0"/>
    <xf numFmtId="0" fontId="45" fillId="0" borderId="0">
      <alignment vertical="center"/>
    </xf>
    <xf numFmtId="0" fontId="70" fillId="0" borderId="0"/>
    <xf numFmtId="0" fontId="45" fillId="0" borderId="0">
      <alignment vertical="center"/>
    </xf>
    <xf numFmtId="0" fontId="45" fillId="0" borderId="0">
      <alignment vertical="center"/>
    </xf>
    <xf numFmtId="0" fontId="45" fillId="0" borderId="0">
      <alignment vertical="center"/>
    </xf>
    <xf numFmtId="0" fontId="71" fillId="0" borderId="0"/>
    <xf numFmtId="0" fontId="45" fillId="0" borderId="0">
      <alignment vertical="center"/>
    </xf>
    <xf numFmtId="0" fontId="29" fillId="0" borderId="0"/>
    <xf numFmtId="0" fontId="29" fillId="0" borderId="0"/>
    <xf numFmtId="0" fontId="29" fillId="0" borderId="0"/>
    <xf numFmtId="0" fontId="49" fillId="0" borderId="0">
      <alignment vertical="center"/>
    </xf>
    <xf numFmtId="0" fontId="52" fillId="0" borderId="0">
      <alignment vertical="center"/>
    </xf>
    <xf numFmtId="0" fontId="53" fillId="0" borderId="1">
      <alignment vertical="center"/>
    </xf>
    <xf numFmtId="0" fontId="54" fillId="0" borderId="2">
      <alignment vertical="center"/>
    </xf>
    <xf numFmtId="0" fontId="55" fillId="0" borderId="3">
      <alignment vertical="center"/>
    </xf>
    <xf numFmtId="0" fontId="55" fillId="0" borderId="0">
      <alignment vertical="center"/>
    </xf>
    <xf numFmtId="0" fontId="56" fillId="3" borderId="0">
      <alignment vertical="center"/>
    </xf>
    <xf numFmtId="0" fontId="30" fillId="0" borderId="0"/>
    <xf numFmtId="0" fontId="30" fillId="0" borderId="0"/>
    <xf numFmtId="0" fontId="49" fillId="0" borderId="0">
      <alignment vertical="center"/>
    </xf>
    <xf numFmtId="0" fontId="30" fillId="0" borderId="0"/>
    <xf numFmtId="0" fontId="57" fillId="2" borderId="0">
      <alignment vertical="center"/>
    </xf>
    <xf numFmtId="0" fontId="58" fillId="0" borderId="9">
      <alignment vertical="center"/>
    </xf>
    <xf numFmtId="0" fontId="59" fillId="6" borderId="4">
      <alignment vertical="center"/>
    </xf>
    <xf numFmtId="0" fontId="60" fillId="7" borderId="7">
      <alignment vertical="center"/>
    </xf>
    <xf numFmtId="0" fontId="61" fillId="0" borderId="0">
      <alignment vertical="center"/>
    </xf>
    <xf numFmtId="0" fontId="62" fillId="0" borderId="0">
      <alignment vertical="center"/>
    </xf>
    <xf numFmtId="0" fontId="63" fillId="0" borderId="6">
      <alignment vertical="center"/>
    </xf>
    <xf numFmtId="0" fontId="64" fillId="4" borderId="0">
      <alignment vertical="center"/>
    </xf>
    <xf numFmtId="0" fontId="65" fillId="6" borderId="5">
      <alignment vertical="center"/>
    </xf>
    <xf numFmtId="0" fontId="66" fillId="5" borderId="4">
      <alignment vertical="center"/>
    </xf>
    <xf numFmtId="0" fontId="51" fillId="8" borderId="8">
      <alignment vertical="center"/>
    </xf>
    <xf numFmtId="0" fontId="29" fillId="0" borderId="0"/>
    <xf numFmtId="0" fontId="69" fillId="0" borderId="0">
      <alignment vertical="center"/>
    </xf>
    <xf numFmtId="0" fontId="29" fillId="0" borderId="0"/>
    <xf numFmtId="0" fontId="45" fillId="0" borderId="0">
      <alignment vertical="center"/>
    </xf>
    <xf numFmtId="0" fontId="45" fillId="0" borderId="0">
      <alignment vertical="center"/>
    </xf>
    <xf numFmtId="0" fontId="29" fillId="0" borderId="0"/>
    <xf numFmtId="0" fontId="29" fillId="0" borderId="0"/>
    <xf numFmtId="0" fontId="29" fillId="0" borderId="0"/>
    <xf numFmtId="0" fontId="7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29" fillId="0" borderId="0"/>
    <xf numFmtId="0" fontId="73" fillId="0" borderId="0">
      <alignment vertical="top"/>
      <protection locked="0"/>
    </xf>
    <xf numFmtId="0" fontId="72" fillId="0" borderId="0"/>
    <xf numFmtId="0" fontId="41" fillId="0" borderId="0"/>
    <xf numFmtId="0" fontId="41" fillId="0" borderId="0"/>
    <xf numFmtId="0" fontId="29" fillId="0" borderId="0"/>
    <xf numFmtId="0" fontId="29" fillId="0" borderId="0"/>
    <xf numFmtId="0" fontId="29" fillId="0" borderId="0"/>
    <xf numFmtId="0" fontId="29" fillId="0" borderId="0"/>
    <xf numFmtId="0" fontId="29" fillId="0" borderId="0"/>
    <xf numFmtId="0" fontId="41" fillId="0" borderId="0"/>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29" fillId="0" borderId="0"/>
    <xf numFmtId="0" fontId="52" fillId="0" borderId="0">
      <alignment vertical="center"/>
    </xf>
    <xf numFmtId="0" fontId="53" fillId="0" borderId="1">
      <alignment vertical="center"/>
    </xf>
    <xf numFmtId="0" fontId="54" fillId="0" borderId="2">
      <alignment vertical="center"/>
    </xf>
    <xf numFmtId="0" fontId="55" fillId="0" borderId="3">
      <alignment vertical="center"/>
    </xf>
    <xf numFmtId="0" fontId="55" fillId="0" borderId="0">
      <alignment vertical="center"/>
    </xf>
    <xf numFmtId="0" fontId="56" fillId="3" borderId="0">
      <alignment vertical="center"/>
    </xf>
    <xf numFmtId="0" fontId="57" fillId="2" borderId="0">
      <alignment vertical="center"/>
    </xf>
    <xf numFmtId="0" fontId="58" fillId="0" borderId="9">
      <alignment vertical="center"/>
    </xf>
    <xf numFmtId="0" fontId="59" fillId="6" borderId="4">
      <alignment vertical="center"/>
    </xf>
    <xf numFmtId="0" fontId="60" fillId="7" borderId="7">
      <alignment vertical="center"/>
    </xf>
    <xf numFmtId="0" fontId="61" fillId="0" borderId="0">
      <alignment vertical="center"/>
    </xf>
    <xf numFmtId="0" fontId="62" fillId="0" borderId="0">
      <alignment vertical="center"/>
    </xf>
    <xf numFmtId="0" fontId="63" fillId="0" borderId="6">
      <alignment vertical="center"/>
    </xf>
    <xf numFmtId="0" fontId="64" fillId="4" borderId="0">
      <alignment vertical="center"/>
    </xf>
    <xf numFmtId="0" fontId="65" fillId="6" borderId="5">
      <alignment vertical="center"/>
    </xf>
    <xf numFmtId="0" fontId="66" fillId="5" borderId="4">
      <alignment vertical="center"/>
    </xf>
    <xf numFmtId="0" fontId="51" fillId="8" borderId="8">
      <alignment vertical="center"/>
    </xf>
    <xf numFmtId="0" fontId="43" fillId="0" borderId="0">
      <alignment vertical="center"/>
    </xf>
    <xf numFmtId="0" fontId="29" fillId="0" borderId="0"/>
    <xf numFmtId="0" fontId="51" fillId="8" borderId="8">
      <alignment vertical="center"/>
    </xf>
    <xf numFmtId="0" fontId="69" fillId="0" borderId="0">
      <alignment vertical="center"/>
    </xf>
    <xf numFmtId="0" fontId="29" fillId="0" borderId="0"/>
    <xf numFmtId="0" fontId="70" fillId="0" borderId="0"/>
    <xf numFmtId="0" fontId="29" fillId="0" borderId="0"/>
    <xf numFmtId="0" fontId="29" fillId="0" borderId="0"/>
    <xf numFmtId="0" fontId="29" fillId="0" borderId="0"/>
    <xf numFmtId="0" fontId="52" fillId="0" borderId="0">
      <alignment vertical="center"/>
    </xf>
    <xf numFmtId="0" fontId="53" fillId="0" borderId="1">
      <alignment vertical="center"/>
    </xf>
    <xf numFmtId="0" fontId="54" fillId="0" borderId="2">
      <alignment vertical="center"/>
    </xf>
    <xf numFmtId="0" fontId="55" fillId="0" borderId="3">
      <alignment vertical="center"/>
    </xf>
    <xf numFmtId="0" fontId="55" fillId="0" borderId="0">
      <alignment vertical="center"/>
    </xf>
    <xf numFmtId="0" fontId="56" fillId="3" borderId="0">
      <alignment vertical="center"/>
    </xf>
    <xf numFmtId="0" fontId="57" fillId="2" borderId="0">
      <alignment vertical="center"/>
    </xf>
    <xf numFmtId="0" fontId="58" fillId="0" borderId="9">
      <alignment vertical="center"/>
    </xf>
    <xf numFmtId="0" fontId="59" fillId="6" borderId="4">
      <alignment vertical="center"/>
    </xf>
    <xf numFmtId="0" fontId="60" fillId="7" borderId="7">
      <alignment vertical="center"/>
    </xf>
    <xf numFmtId="0" fontId="61" fillId="0" borderId="0">
      <alignment vertical="center"/>
    </xf>
    <xf numFmtId="0" fontId="62" fillId="0" borderId="0">
      <alignment vertical="center"/>
    </xf>
    <xf numFmtId="0" fontId="63" fillId="0" borderId="6">
      <alignment vertical="center"/>
    </xf>
    <xf numFmtId="0" fontId="64" fillId="4" borderId="0">
      <alignment vertical="center"/>
    </xf>
    <xf numFmtId="0" fontId="65" fillId="6" borderId="5">
      <alignment vertical="center"/>
    </xf>
    <xf numFmtId="0" fontId="66" fillId="5" borderId="4">
      <alignment vertical="center"/>
    </xf>
    <xf numFmtId="0" fontId="51" fillId="8" borderId="8">
      <alignment vertical="center"/>
    </xf>
    <xf numFmtId="0" fontId="29" fillId="0" borderId="0"/>
    <xf numFmtId="0" fontId="69" fillId="0" borderId="0">
      <alignment vertical="center"/>
    </xf>
    <xf numFmtId="0" fontId="29" fillId="0" borderId="0"/>
    <xf numFmtId="0" fontId="29" fillId="0" borderId="0"/>
    <xf numFmtId="0" fontId="29" fillId="0" borderId="0"/>
    <xf numFmtId="0" fontId="29" fillId="0" borderId="0"/>
    <xf numFmtId="0" fontId="7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73" fillId="0" borderId="0">
      <alignment vertical="top"/>
      <protection locked="0"/>
    </xf>
    <xf numFmtId="0" fontId="29" fillId="0" borderId="0"/>
    <xf numFmtId="0" fontId="29" fillId="0" borderId="0"/>
    <xf numFmtId="0" fontId="29" fillId="0" borderId="0"/>
    <xf numFmtId="0" fontId="29" fillId="0" borderId="0"/>
    <xf numFmtId="0" fontId="29" fillId="0" borderId="0"/>
    <xf numFmtId="0" fontId="29" fillId="0" borderId="0"/>
    <xf numFmtId="0" fontId="81" fillId="0" borderId="0"/>
    <xf numFmtId="0" fontId="29" fillId="0" borderId="0"/>
    <xf numFmtId="0" fontId="29" fillId="0" borderId="0"/>
    <xf numFmtId="0" fontId="30" fillId="0" borderId="0"/>
    <xf numFmtId="0" fontId="30" fillId="0" borderId="0"/>
    <xf numFmtId="0" fontId="30" fillId="0" borderId="0"/>
    <xf numFmtId="0" fontId="29" fillId="0" borderId="0"/>
    <xf numFmtId="0" fontId="29" fillId="0" borderId="0"/>
    <xf numFmtId="0" fontId="29" fillId="0" borderId="0"/>
    <xf numFmtId="0" fontId="30" fillId="0" borderId="0"/>
    <xf numFmtId="0" fontId="3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45" fillId="0" borderId="0">
      <alignment vertical="center"/>
    </xf>
    <xf numFmtId="0" fontId="45" fillId="0" borderId="0">
      <alignment vertical="center"/>
    </xf>
    <xf numFmtId="0" fontId="49" fillId="0" borderId="0">
      <alignment vertical="center"/>
    </xf>
    <xf numFmtId="0" fontId="71" fillId="0" borderId="0"/>
    <xf numFmtId="0" fontId="49" fillId="0" borderId="0">
      <alignment vertical="center"/>
    </xf>
    <xf numFmtId="0" fontId="29" fillId="0" borderId="0"/>
    <xf numFmtId="0" fontId="29" fillId="0" borderId="0"/>
    <xf numFmtId="0" fontId="45" fillId="0" borderId="0">
      <alignment vertical="center"/>
    </xf>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69" fillId="0" borderId="0">
      <alignment vertical="center"/>
    </xf>
    <xf numFmtId="0" fontId="29" fillId="0" borderId="0"/>
    <xf numFmtId="0" fontId="29" fillId="0" borderId="0"/>
    <xf numFmtId="0" fontId="29" fillId="0" borderId="0"/>
    <xf numFmtId="0" fontId="43" fillId="0" borderId="0">
      <alignment vertical="center"/>
    </xf>
    <xf numFmtId="0" fontId="49" fillId="0" borderId="0">
      <alignment vertical="center"/>
    </xf>
    <xf numFmtId="0" fontId="45" fillId="0" borderId="0">
      <alignment vertical="center"/>
    </xf>
    <xf numFmtId="0" fontId="29" fillId="0" borderId="0"/>
    <xf numFmtId="0" fontId="71" fillId="0" borderId="0"/>
    <xf numFmtId="0" fontId="29" fillId="0" borderId="0"/>
    <xf numFmtId="0" fontId="29" fillId="0" borderId="0"/>
    <xf numFmtId="0" fontId="30" fillId="0" borderId="0"/>
    <xf numFmtId="0" fontId="29" fillId="0" borderId="0"/>
    <xf numFmtId="0" fontId="29" fillId="0" borderId="0"/>
    <xf numFmtId="0" fontId="29" fillId="0" borderId="0"/>
    <xf numFmtId="0" fontId="29" fillId="0" borderId="0"/>
    <xf numFmtId="0" fontId="49" fillId="0" borderId="0">
      <alignment vertical="center"/>
    </xf>
    <xf numFmtId="0" fontId="29" fillId="0" borderId="0"/>
    <xf numFmtId="0" fontId="69" fillId="0" borderId="0">
      <alignment vertical="center"/>
    </xf>
    <xf numFmtId="0" fontId="43" fillId="0" borderId="0">
      <alignment vertical="center"/>
    </xf>
    <xf numFmtId="0" fontId="41" fillId="0" borderId="0"/>
    <xf numFmtId="0" fontId="41"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81"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81" fillId="0" borderId="0">
      <alignment vertical="center"/>
    </xf>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43"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5" fillId="0" borderId="0"/>
    <xf numFmtId="0" fontId="43" fillId="0" borderId="0" applyNumberFormat="0" applyFill="0" applyBorder="0" applyAlignment="0" applyProtection="0">
      <alignment vertical="center"/>
    </xf>
    <xf numFmtId="0" fontId="70" fillId="0" borderId="0" applyNumberFormat="0" applyFill="0" applyBorder="0" applyAlignment="0" applyProtection="0"/>
    <xf numFmtId="0" fontId="15" fillId="0" borderId="0"/>
  </cellStyleXfs>
  <cellXfs count="180">
    <xf numFmtId="0" fontId="0" fillId="0" borderId="0" xfId="0"/>
    <xf numFmtId="0" fontId="31" fillId="0" borderId="0" xfId="1" applyFont="1"/>
    <xf numFmtId="0" fontId="33" fillId="0" borderId="0" xfId="1" applyFont="1" applyAlignment="1">
      <alignment horizontal="center" vertical="center"/>
    </xf>
    <xf numFmtId="0" fontId="34" fillId="0" borderId="0" xfId="1" applyFont="1" applyAlignment="1">
      <alignment vertical="center" wrapText="1"/>
    </xf>
    <xf numFmtId="0" fontId="35" fillId="0" borderId="0" xfId="1" applyFont="1"/>
    <xf numFmtId="0" fontId="38" fillId="0" borderId="0" xfId="1" applyFont="1"/>
    <xf numFmtId="0" fontId="38" fillId="0" borderId="0" xfId="1" applyFont="1" applyAlignment="1">
      <alignment horizontal="center" vertical="center"/>
    </xf>
    <xf numFmtId="0" fontId="31" fillId="0" borderId="0" xfId="1" applyFont="1" applyAlignment="1">
      <alignment vertical="center"/>
    </xf>
    <xf numFmtId="0" fontId="37" fillId="0" borderId="0" xfId="1" applyFont="1" applyAlignment="1">
      <alignment horizontal="right" vertical="center"/>
    </xf>
    <xf numFmtId="49" fontId="40" fillId="0" borderId="0" xfId="0" applyNumberFormat="1" applyFont="1" applyAlignment="1">
      <alignment vertical="top" wrapText="1"/>
    </xf>
    <xf numFmtId="49" fontId="39" fillId="0" borderId="0" xfId="0" applyNumberFormat="1" applyFont="1" applyAlignment="1">
      <alignment vertical="top" wrapText="1"/>
    </xf>
    <xf numFmtId="49" fontId="41" fillId="0" borderId="0" xfId="0" applyNumberFormat="1" applyFont="1" applyAlignment="1">
      <alignment vertical="center" wrapText="1"/>
    </xf>
    <xf numFmtId="0" fontId="36" fillId="0" borderId="0" xfId="1" applyFont="1"/>
    <xf numFmtId="0" fontId="36" fillId="0" borderId="0" xfId="1" applyFont="1" applyAlignment="1">
      <alignment horizontal="center" vertical="top"/>
    </xf>
    <xf numFmtId="49" fontId="44" fillId="0" borderId="0" xfId="0" applyNumberFormat="1" applyFont="1" applyAlignment="1">
      <alignment vertical="center"/>
    </xf>
    <xf numFmtId="0" fontId="45" fillId="0" borderId="0" xfId="108" applyAlignment="1">
      <alignment vertical="center"/>
    </xf>
    <xf numFmtId="0" fontId="45" fillId="0" borderId="0" xfId="107" applyAlignment="1">
      <alignment vertical="center"/>
    </xf>
    <xf numFmtId="0" fontId="74" fillId="10" borderId="11" xfId="110" applyFont="1" applyFill="1" applyBorder="1" applyAlignment="1" applyProtection="1">
      <alignment horizontal="center" vertical="top" wrapText="1"/>
      <protection locked="0"/>
    </xf>
    <xf numFmtId="0" fontId="51" fillId="0" borderId="0" xfId="109" applyFont="1" applyAlignment="1">
      <alignment vertical="center"/>
    </xf>
    <xf numFmtId="0" fontId="45" fillId="0" borderId="0" xfId="123" applyAlignment="1">
      <alignment vertical="center"/>
    </xf>
    <xf numFmtId="0" fontId="74" fillId="10" borderId="12" xfId="110" applyFont="1" applyFill="1" applyBorder="1" applyAlignment="1" applyProtection="1">
      <alignment horizontal="center" vertical="top" wrapText="1"/>
      <protection locked="0"/>
    </xf>
    <xf numFmtId="0" fontId="77" fillId="0" borderId="12" xfId="0" applyFont="1" applyBorder="1" applyAlignment="1">
      <alignment vertical="top" wrapText="1"/>
    </xf>
    <xf numFmtId="0" fontId="77" fillId="0" borderId="12" xfId="115" applyFont="1" applyBorder="1" applyAlignment="1">
      <alignment vertical="top" wrapText="1"/>
    </xf>
    <xf numFmtId="0" fontId="78" fillId="9" borderId="12" xfId="46" applyFont="1" applyFill="1" applyBorder="1" applyAlignment="1">
      <alignment horizontal="left" vertical="center" wrapText="1"/>
    </xf>
    <xf numFmtId="0" fontId="74" fillId="0" borderId="12" xfId="110" applyFont="1" applyBorder="1" applyAlignment="1" applyProtection="1">
      <alignment horizontal="center" vertical="top"/>
      <protection locked="0"/>
    </xf>
    <xf numFmtId="14" fontId="74" fillId="0" borderId="12" xfId="110" applyNumberFormat="1" applyFont="1" applyBorder="1" applyAlignment="1" applyProtection="1">
      <alignment horizontal="center" vertical="top" wrapText="1"/>
      <protection locked="0"/>
    </xf>
    <xf numFmtId="0" fontId="79" fillId="9" borderId="12" xfId="46" applyFont="1" applyFill="1" applyBorder="1" applyAlignment="1">
      <alignment horizontal="left" vertical="center" wrapText="1"/>
    </xf>
    <xf numFmtId="0" fontId="67" fillId="9" borderId="12" xfId="46" applyFont="1" applyFill="1" applyBorder="1" applyAlignment="1">
      <alignment horizontal="left" vertical="center" wrapText="1"/>
    </xf>
    <xf numFmtId="49" fontId="41" fillId="0" borderId="12" xfId="0" applyNumberFormat="1" applyFont="1" applyBorder="1" applyAlignment="1">
      <alignment vertical="center"/>
    </xf>
    <xf numFmtId="0" fontId="67" fillId="9" borderId="12" xfId="2" applyFont="1" applyFill="1" applyBorder="1" applyAlignment="1">
      <alignment horizontal="left" vertical="center" wrapText="1"/>
    </xf>
    <xf numFmtId="0" fontId="48" fillId="0" borderId="12" xfId="0" applyFont="1" applyBorder="1"/>
    <xf numFmtId="0" fontId="48" fillId="0" borderId="12" xfId="0" applyFont="1" applyBorder="1" applyAlignment="1">
      <alignment vertical="top" wrapText="1"/>
    </xf>
    <xf numFmtId="0" fontId="47" fillId="0" borderId="12" xfId="0" applyFont="1" applyBorder="1" applyAlignment="1">
      <alignment vertical="top" wrapText="1"/>
    </xf>
    <xf numFmtId="49" fontId="39" fillId="0" borderId="13" xfId="0" applyNumberFormat="1" applyFont="1" applyBorder="1" applyAlignment="1">
      <alignment vertical="top" wrapText="1"/>
    </xf>
    <xf numFmtId="14" fontId="75" fillId="0" borderId="12" xfId="0" applyNumberFormat="1" applyFont="1" applyBorder="1" applyAlignment="1">
      <alignment vertical="center"/>
    </xf>
    <xf numFmtId="49" fontId="74" fillId="10" borderId="12" xfId="110" applyNumberFormat="1" applyFont="1" applyFill="1" applyBorder="1" applyAlignment="1" applyProtection="1">
      <alignment horizontal="center" vertical="top" wrapText="1"/>
      <protection locked="0"/>
    </xf>
    <xf numFmtId="0" fontId="47" fillId="11" borderId="12" xfId="0" applyFont="1" applyFill="1" applyBorder="1" applyAlignment="1">
      <alignment vertical="top" wrapText="1"/>
    </xf>
    <xf numFmtId="49" fontId="42" fillId="11" borderId="12" xfId="0" applyNumberFormat="1" applyFont="1" applyFill="1" applyBorder="1" applyAlignment="1">
      <alignment vertical="center"/>
    </xf>
    <xf numFmtId="0" fontId="74" fillId="11" borderId="12" xfId="110" applyFont="1" applyFill="1" applyBorder="1" applyAlignment="1" applyProtection="1">
      <alignment horizontal="center" vertical="top" wrapText="1"/>
      <protection locked="0"/>
    </xf>
    <xf numFmtId="49" fontId="74" fillId="11" borderId="12" xfId="110" applyNumberFormat="1" applyFont="1" applyFill="1" applyBorder="1" applyAlignment="1" applyProtection="1">
      <alignment horizontal="center" vertical="top" wrapText="1"/>
      <protection locked="0"/>
    </xf>
    <xf numFmtId="49" fontId="42" fillId="11" borderId="0" xfId="0" applyNumberFormat="1" applyFont="1" applyFill="1" applyAlignment="1">
      <alignment vertical="center"/>
    </xf>
    <xf numFmtId="0" fontId="27" fillId="0" borderId="0" xfId="127" applyFont="1"/>
    <xf numFmtId="0" fontId="47" fillId="0" borderId="12" xfId="119" applyFont="1" applyBorder="1" applyAlignment="1">
      <alignment vertical="top" wrapText="1"/>
    </xf>
    <xf numFmtId="49" fontId="42" fillId="0" borderId="12" xfId="0" applyNumberFormat="1" applyFont="1" applyBorder="1" applyAlignment="1">
      <alignment vertical="center"/>
    </xf>
    <xf numFmtId="0" fontId="74" fillId="0" borderId="12" xfId="110" applyFont="1" applyBorder="1" applyAlignment="1" applyProtection="1">
      <alignment horizontal="center" vertical="top" wrapText="1"/>
      <protection locked="0"/>
    </xf>
    <xf numFmtId="49" fontId="76" fillId="0" borderId="12" xfId="0" applyNumberFormat="1" applyFont="1" applyBorder="1" applyAlignment="1">
      <alignment vertical="center"/>
    </xf>
    <xf numFmtId="49" fontId="42" fillId="0" borderId="0" xfId="0" applyNumberFormat="1" applyFont="1" applyAlignment="1">
      <alignment vertical="center"/>
    </xf>
    <xf numFmtId="0" fontId="47" fillId="0" borderId="12" xfId="115" applyFont="1" applyBorder="1" applyAlignment="1">
      <alignment vertical="top" wrapText="1"/>
    </xf>
    <xf numFmtId="0" fontId="80" fillId="0" borderId="12" xfId="214" applyFont="1" applyBorder="1" applyAlignment="1">
      <alignment horizontal="left" vertical="top" wrapText="1"/>
    </xf>
    <xf numFmtId="0" fontId="47" fillId="12" borderId="12" xfId="0" applyFont="1" applyFill="1" applyBorder="1" applyAlignment="1">
      <alignment vertical="top" wrapText="1"/>
    </xf>
    <xf numFmtId="49" fontId="42" fillId="12" borderId="12" xfId="0" applyNumberFormat="1" applyFont="1" applyFill="1" applyBorder="1" applyAlignment="1">
      <alignment vertical="center"/>
    </xf>
    <xf numFmtId="0" fontId="74" fillId="12" borderId="12" xfId="110" applyFont="1" applyFill="1" applyBorder="1" applyAlignment="1" applyProtection="1">
      <alignment horizontal="center" vertical="top" wrapText="1"/>
      <protection locked="0"/>
    </xf>
    <xf numFmtId="49" fontId="74" fillId="12" borderId="12" xfId="110" applyNumberFormat="1" applyFont="1" applyFill="1" applyBorder="1" applyAlignment="1" applyProtection="1">
      <alignment horizontal="center" vertical="top" wrapText="1"/>
      <protection locked="0"/>
    </xf>
    <xf numFmtId="49" fontId="76" fillId="12" borderId="12" xfId="0" applyNumberFormat="1" applyFont="1" applyFill="1" applyBorder="1" applyAlignment="1">
      <alignment vertical="center"/>
    </xf>
    <xf numFmtId="14" fontId="75" fillId="12" borderId="12" xfId="0" applyNumberFormat="1" applyFont="1" applyFill="1" applyBorder="1" applyAlignment="1">
      <alignment horizontal="right" vertical="top"/>
    </xf>
    <xf numFmtId="0" fontId="48" fillId="12" borderId="12" xfId="0" applyFont="1" applyFill="1" applyBorder="1" applyAlignment="1">
      <alignment vertical="top" wrapText="1"/>
    </xf>
    <xf numFmtId="49" fontId="77" fillId="11" borderId="12" xfId="0" applyNumberFormat="1" applyFont="1" applyFill="1" applyBorder="1" applyAlignment="1">
      <alignment vertical="center"/>
    </xf>
    <xf numFmtId="0" fontId="0" fillId="0" borderId="0" xfId="107" applyFont="1" applyAlignment="1">
      <alignment vertical="center"/>
    </xf>
    <xf numFmtId="0" fontId="78" fillId="13" borderId="12" xfId="46" applyFont="1" applyFill="1" applyBorder="1" applyAlignment="1">
      <alignment horizontal="left" vertical="center" wrapText="1"/>
    </xf>
    <xf numFmtId="49" fontId="42" fillId="13" borderId="12" xfId="0" applyNumberFormat="1" applyFont="1" applyFill="1" applyBorder="1" applyAlignment="1">
      <alignment vertical="center"/>
    </xf>
    <xf numFmtId="0" fontId="74" fillId="13" borderId="12" xfId="110" applyFont="1" applyFill="1" applyBorder="1" applyAlignment="1" applyProtection="1">
      <alignment horizontal="center" vertical="top" wrapText="1"/>
      <protection locked="0"/>
    </xf>
    <xf numFmtId="49" fontId="74" fillId="13" borderId="12" xfId="110" applyNumberFormat="1" applyFont="1" applyFill="1" applyBorder="1" applyAlignment="1" applyProtection="1">
      <alignment horizontal="center" vertical="top" wrapText="1"/>
      <protection locked="0"/>
    </xf>
    <xf numFmtId="49" fontId="76" fillId="13" borderId="12" xfId="0" applyNumberFormat="1" applyFont="1" applyFill="1" applyBorder="1" applyAlignment="1">
      <alignment vertical="center"/>
    </xf>
    <xf numFmtId="14" fontId="75" fillId="13" borderId="12" xfId="0" applyNumberFormat="1" applyFont="1" applyFill="1" applyBorder="1" applyAlignment="1">
      <alignment horizontal="right" vertical="center"/>
    </xf>
    <xf numFmtId="49" fontId="42" fillId="13" borderId="0" xfId="0" applyNumberFormat="1" applyFont="1" applyFill="1" applyAlignment="1">
      <alignment vertical="center"/>
    </xf>
    <xf numFmtId="0" fontId="68" fillId="9" borderId="12" xfId="46" applyFont="1" applyFill="1" applyBorder="1" applyAlignment="1">
      <alignment horizontal="left" vertical="center" wrapText="1"/>
    </xf>
    <xf numFmtId="0" fontId="82" fillId="0" borderId="12" xfId="0" applyFont="1" applyBorder="1" applyAlignment="1">
      <alignment vertical="top" wrapText="1"/>
    </xf>
    <xf numFmtId="0" fontId="67" fillId="11" borderId="12" xfId="46" applyFont="1" applyFill="1" applyBorder="1" applyAlignment="1">
      <alignment horizontal="left" vertical="center" wrapText="1"/>
    </xf>
    <xf numFmtId="49" fontId="41" fillId="11" borderId="12" xfId="0" applyNumberFormat="1" applyFont="1" applyFill="1" applyBorder="1" applyAlignment="1">
      <alignment vertical="center"/>
    </xf>
    <xf numFmtId="14" fontId="75" fillId="11" borderId="12" xfId="0" applyNumberFormat="1" applyFont="1" applyFill="1" applyBorder="1" applyAlignment="1">
      <alignment horizontal="right" vertical="center"/>
    </xf>
    <xf numFmtId="0" fontId="83" fillId="9" borderId="14" xfId="46" applyFont="1" applyFill="1" applyBorder="1" applyAlignment="1">
      <alignment horizontal="left" vertical="center" wrapText="1"/>
    </xf>
    <xf numFmtId="49" fontId="77" fillId="0" borderId="15" xfId="0" applyNumberFormat="1" applyFont="1" applyBorder="1" applyAlignment="1">
      <alignment vertical="center"/>
    </xf>
    <xf numFmtId="0" fontId="0" fillId="0" borderId="0" xfId="121" applyFont="1" applyAlignment="1">
      <alignment vertical="center"/>
    </xf>
    <xf numFmtId="49" fontId="0" fillId="0" borderId="0" xfId="121" applyNumberFormat="1" applyFont="1" applyAlignment="1">
      <alignment vertical="center"/>
    </xf>
    <xf numFmtId="49" fontId="44" fillId="0" borderId="0" xfId="0" quotePrefix="1" applyNumberFormat="1" applyFont="1" applyAlignment="1">
      <alignment vertical="center"/>
    </xf>
    <xf numFmtId="49" fontId="41" fillId="0" borderId="0" xfId="0" applyNumberFormat="1" applyFont="1" applyAlignment="1">
      <alignment vertical="center"/>
    </xf>
    <xf numFmtId="0" fontId="28" fillId="0" borderId="0" xfId="127" applyFont="1"/>
    <xf numFmtId="0" fontId="0" fillId="0" borderId="0" xfId="0"/>
    <xf numFmtId="0" fontId="0" fillId="0" borderId="0" xfId="108" applyFont="1" applyAlignment="1">
      <alignment vertical="center"/>
    </xf>
    <xf numFmtId="49" fontId="76" fillId="0" borderId="0" xfId="0" applyNumberFormat="1" applyFont="1" applyAlignment="1">
      <alignment vertical="center"/>
    </xf>
    <xf numFmtId="49" fontId="43" fillId="0" borderId="0" xfId="639" applyNumberFormat="1" applyAlignment="1">
      <alignment vertical="center"/>
    </xf>
    <xf numFmtId="0" fontId="25" fillId="0" borderId="0" xfId="127" applyFont="1"/>
    <xf numFmtId="49" fontId="0" fillId="0" borderId="0" xfId="122" applyNumberFormat="1" applyFont="1" applyAlignment="1">
      <alignment vertical="center"/>
    </xf>
    <xf numFmtId="0" fontId="0" fillId="0" borderId="0" xfId="123" applyFont="1" applyAlignment="1">
      <alignment vertical="center"/>
    </xf>
    <xf numFmtId="0" fontId="0" fillId="0" borderId="0" xfId="0" applyAlignment="1">
      <alignment vertical="center"/>
    </xf>
    <xf numFmtId="0" fontId="45" fillId="0" borderId="0" xfId="124" applyAlignment="1">
      <alignment vertical="center"/>
    </xf>
    <xf numFmtId="0" fontId="24" fillId="0" borderId="0" xfId="127" applyFont="1" applyAlignment="1">
      <alignment wrapText="1"/>
    </xf>
    <xf numFmtId="0" fontId="23" fillId="0" borderId="0" xfId="127" applyFont="1"/>
    <xf numFmtId="0" fontId="84" fillId="0" borderId="0" xfId="0" applyFont="1"/>
    <xf numFmtId="0" fontId="22" fillId="0" borderId="0" xfId="127" applyFont="1"/>
    <xf numFmtId="0" fontId="22" fillId="0" borderId="0" xfId="127" applyFont="1" applyAlignment="1">
      <alignment wrapText="1"/>
    </xf>
    <xf numFmtId="0" fontId="0" fillId="0" borderId="0" xfId="124" applyFont="1" applyAlignment="1">
      <alignment vertical="center"/>
    </xf>
    <xf numFmtId="49" fontId="77" fillId="0" borderId="0" xfId="0" applyNumberFormat="1" applyFont="1" applyAlignment="1">
      <alignment vertical="center"/>
    </xf>
    <xf numFmtId="49" fontId="42" fillId="0" borderId="0" xfId="0" applyNumberFormat="1" applyFont="1" applyAlignment="1">
      <alignment horizontal="center" vertical="center"/>
    </xf>
    <xf numFmtId="49" fontId="0" fillId="0" borderId="0" xfId="126" applyNumberFormat="1" applyFont="1" applyAlignment="1">
      <alignment vertical="center"/>
    </xf>
    <xf numFmtId="0" fontId="21" fillId="0" borderId="0" xfId="127" applyFont="1" applyAlignment="1">
      <alignment wrapText="1"/>
    </xf>
    <xf numFmtId="0" fontId="20" fillId="0" borderId="0" xfId="127" applyFont="1" applyAlignment="1">
      <alignment wrapText="1"/>
    </xf>
    <xf numFmtId="0" fontId="19" fillId="0" borderId="0" xfId="127" applyFont="1"/>
    <xf numFmtId="49" fontId="86" fillId="0" borderId="0" xfId="0" applyNumberFormat="1" applyFont="1" applyAlignment="1">
      <alignment vertical="center"/>
    </xf>
    <xf numFmtId="0" fontId="87" fillId="0" borderId="0" xfId="127" applyFont="1"/>
    <xf numFmtId="0" fontId="18" fillId="0" borderId="0" xfId="127" applyFont="1"/>
    <xf numFmtId="49" fontId="85" fillId="0" borderId="0" xfId="0" applyNumberFormat="1" applyFont="1" applyAlignment="1">
      <alignment vertical="center"/>
    </xf>
    <xf numFmtId="0" fontId="17" fillId="0" borderId="0" xfId="127" applyFont="1"/>
    <xf numFmtId="0" fontId="43" fillId="0" borderId="0" xfId="639"/>
    <xf numFmtId="0" fontId="47" fillId="0" borderId="12" xfId="0" applyFont="1" applyFill="1" applyBorder="1" applyAlignment="1">
      <alignment vertical="top" wrapText="1"/>
    </xf>
    <xf numFmtId="49" fontId="42" fillId="0" borderId="12" xfId="0" applyNumberFormat="1" applyFont="1" applyFill="1" applyBorder="1" applyAlignment="1">
      <alignment vertical="center"/>
    </xf>
    <xf numFmtId="0" fontId="74" fillId="0" borderId="12" xfId="110" applyFont="1" applyFill="1" applyBorder="1" applyAlignment="1" applyProtection="1">
      <alignment horizontal="center" vertical="top" wrapText="1"/>
      <protection locked="0"/>
    </xf>
    <xf numFmtId="49" fontId="42" fillId="0" borderId="0" xfId="0" applyNumberFormat="1" applyFont="1" applyFill="1" applyAlignment="1">
      <alignment vertical="center"/>
    </xf>
    <xf numFmtId="0" fontId="28" fillId="0" borderId="0" xfId="127" applyFont="1" applyFill="1"/>
    <xf numFmtId="0" fontId="0" fillId="0" borderId="0" xfId="0" applyFont="1"/>
    <xf numFmtId="0" fontId="16" fillId="0" borderId="0" xfId="127" applyFont="1" applyAlignment="1">
      <alignment wrapText="1"/>
    </xf>
    <xf numFmtId="49" fontId="41" fillId="0" borderId="0" xfId="0" applyNumberFormat="1" applyFont="1" applyFill="1" applyAlignment="1">
      <alignment vertical="center"/>
    </xf>
    <xf numFmtId="0" fontId="76" fillId="0" borderId="12" xfId="0" quotePrefix="1" applyNumberFormat="1" applyFont="1" applyBorder="1" applyAlignment="1">
      <alignment vertical="center"/>
    </xf>
    <xf numFmtId="0" fontId="80" fillId="11" borderId="12" xfId="731" applyFont="1" applyFill="1" applyBorder="1" applyAlignment="1">
      <alignment horizontal="left" vertical="top" wrapText="1"/>
    </xf>
    <xf numFmtId="0" fontId="88" fillId="0" borderId="0" xfId="0" applyFont="1"/>
    <xf numFmtId="0" fontId="14" fillId="0" borderId="0" xfId="127" applyFont="1"/>
    <xf numFmtId="0" fontId="75" fillId="0" borderId="0" xfId="127" applyFont="1"/>
    <xf numFmtId="0" fontId="75" fillId="0" borderId="0" xfId="127" applyFont="1" applyFill="1"/>
    <xf numFmtId="0" fontId="75" fillId="0" borderId="0" xfId="127" applyFont="1" applyAlignment="1">
      <alignment wrapText="1"/>
    </xf>
    <xf numFmtId="0" fontId="75" fillId="0" borderId="0" xfId="0" applyFont="1"/>
    <xf numFmtId="0" fontId="14" fillId="0" borderId="0" xfId="127" applyFont="1" applyFill="1"/>
    <xf numFmtId="0" fontId="13" fillId="0" borderId="0" xfId="127" applyFont="1" applyFill="1"/>
    <xf numFmtId="0" fontId="12" fillId="0" borderId="0" xfId="127" applyFont="1"/>
    <xf numFmtId="0" fontId="12" fillId="0" borderId="0" xfId="127" applyFont="1" applyFill="1"/>
    <xf numFmtId="0" fontId="11" fillId="0" borderId="0" xfId="127" applyFont="1" applyAlignment="1">
      <alignment wrapText="1"/>
    </xf>
    <xf numFmtId="0" fontId="11" fillId="0" borderId="0" xfId="127" applyFont="1"/>
    <xf numFmtId="0" fontId="89" fillId="0" borderId="12" xfId="0" applyFont="1" applyBorder="1" applyAlignment="1">
      <alignment horizontal="center" vertical="top"/>
    </xf>
    <xf numFmtId="0" fontId="89" fillId="0" borderId="16" xfId="0" applyFont="1" applyFill="1" applyBorder="1" applyAlignment="1">
      <alignment horizontal="center" vertical="top"/>
    </xf>
    <xf numFmtId="0" fontId="70" fillId="0" borderId="0" xfId="733"/>
    <xf numFmtId="0" fontId="16" fillId="0" borderId="0" xfId="127" applyFont="1" applyFill="1" applyAlignment="1">
      <alignment wrapText="1"/>
    </xf>
    <xf numFmtId="0" fontId="11" fillId="0" borderId="0" xfId="127" applyFont="1" applyFill="1"/>
    <xf numFmtId="49" fontId="91" fillId="0" borderId="0" xfId="0" applyNumberFormat="1" applyFont="1" applyAlignment="1">
      <alignment vertical="top" wrapText="1"/>
    </xf>
    <xf numFmtId="0" fontId="9" fillId="0" borderId="0" xfId="127" applyFont="1"/>
    <xf numFmtId="0" fontId="9" fillId="0" borderId="0" xfId="127" applyFont="1" applyAlignment="1">
      <alignment wrapText="1"/>
    </xf>
    <xf numFmtId="0" fontId="9" fillId="0" borderId="0" xfId="127" applyFont="1" applyFill="1"/>
    <xf numFmtId="0" fontId="22" fillId="0" borderId="0" xfId="127" applyFont="1" applyFill="1"/>
    <xf numFmtId="49" fontId="77" fillId="0" borderId="12" xfId="0" applyNumberFormat="1" applyFont="1" applyBorder="1" applyAlignment="1">
      <alignment vertical="center"/>
    </xf>
    <xf numFmtId="0" fontId="92" fillId="0" borderId="0" xfId="127" applyFont="1" applyFill="1"/>
    <xf numFmtId="0" fontId="75" fillId="0" borderId="0" xfId="127" applyFont="1" applyFill="1" applyAlignment="1">
      <alignment wrapText="1"/>
    </xf>
    <xf numFmtId="0" fontId="75" fillId="0" borderId="0" xfId="0" applyFont="1" applyFill="1"/>
    <xf numFmtId="0" fontId="10" fillId="0" borderId="0" xfId="127" applyFont="1" applyFill="1" applyAlignment="1">
      <alignment wrapText="1"/>
    </xf>
    <xf numFmtId="0" fontId="27" fillId="0" borderId="0" xfId="127" applyFont="1" applyFill="1"/>
    <xf numFmtId="0" fontId="20" fillId="0" borderId="0" xfId="127" applyFont="1" applyFill="1" applyAlignment="1">
      <alignment wrapText="1"/>
    </xf>
    <xf numFmtId="0" fontId="8" fillId="0" borderId="0" xfId="127" applyFont="1"/>
    <xf numFmtId="49" fontId="93" fillId="0" borderId="12" xfId="0" applyNumberFormat="1" applyFont="1" applyBorder="1" applyAlignment="1">
      <alignment vertical="center"/>
    </xf>
    <xf numFmtId="0" fontId="62" fillId="0" borderId="0" xfId="127" applyFont="1"/>
    <xf numFmtId="0" fontId="62" fillId="0" borderId="0" xfId="127" applyFont="1" applyAlignment="1">
      <alignment wrapText="1"/>
    </xf>
    <xf numFmtId="49" fontId="0" fillId="0" borderId="0" xfId="125" applyNumberFormat="1" applyFont="1" applyAlignment="1">
      <alignment vertical="center"/>
    </xf>
    <xf numFmtId="49" fontId="40" fillId="0" borderId="0" xfId="0" applyNumberFormat="1" applyFont="1" applyFill="1" applyAlignment="1">
      <alignment vertical="top" wrapText="1"/>
    </xf>
    <xf numFmtId="0" fontId="26" fillId="0" borderId="0" xfId="127" applyFont="1" applyFill="1" applyAlignment="1">
      <alignment wrapText="1"/>
    </xf>
    <xf numFmtId="0" fontId="22" fillId="0" borderId="0" xfId="127" applyFont="1" applyFill="1" applyAlignment="1">
      <alignment wrapText="1"/>
    </xf>
    <xf numFmtId="0" fontId="0" fillId="0" borderId="0" xfId="0" applyFill="1"/>
    <xf numFmtId="0" fontId="24" fillId="0" borderId="0" xfId="127" applyFont="1" applyFill="1" applyAlignment="1">
      <alignment wrapText="1"/>
    </xf>
    <xf numFmtId="0" fontId="21" fillId="0" borderId="0" xfId="127" applyFont="1" applyFill="1" applyAlignment="1">
      <alignment wrapText="1"/>
    </xf>
    <xf numFmtId="0" fontId="19" fillId="0" borderId="0" xfId="127" applyFont="1" applyFill="1"/>
    <xf numFmtId="49" fontId="41" fillId="0" borderId="0" xfId="0" applyNumberFormat="1" applyFont="1" applyFill="1" applyAlignment="1">
      <alignment vertical="center" wrapText="1"/>
    </xf>
    <xf numFmtId="0" fontId="7" fillId="0" borderId="0" xfId="127" applyFont="1" applyFill="1" applyAlignment="1">
      <alignment wrapText="1"/>
    </xf>
    <xf numFmtId="0" fontId="75" fillId="15" borderId="0" xfId="127" applyFont="1" applyFill="1"/>
    <xf numFmtId="0" fontId="6" fillId="0" borderId="0" xfId="127" applyFont="1" applyFill="1"/>
    <xf numFmtId="0" fontId="5" fillId="0" borderId="0" xfId="127" applyFont="1"/>
    <xf numFmtId="0" fontId="75" fillId="11" borderId="0" xfId="127" applyFont="1" applyFill="1"/>
    <xf numFmtId="0" fontId="28" fillId="11" borderId="0" xfId="127" applyFont="1" applyFill="1"/>
    <xf numFmtId="0" fontId="4" fillId="0" borderId="0" xfId="127" applyFont="1" applyFill="1"/>
    <xf numFmtId="0" fontId="4" fillId="0" borderId="0" xfId="127" applyFont="1" applyFill="1" applyAlignment="1">
      <alignment wrapText="1"/>
    </xf>
    <xf numFmtId="0" fontId="28" fillId="16" borderId="0" xfId="127" applyFont="1" applyFill="1"/>
    <xf numFmtId="0" fontId="27" fillId="16" borderId="0" xfId="127" applyFont="1" applyFill="1"/>
    <xf numFmtId="0" fontId="94" fillId="0" borderId="0" xfId="0" applyFont="1"/>
    <xf numFmtId="0" fontId="62" fillId="0" borderId="0" xfId="0" applyFont="1"/>
    <xf numFmtId="0" fontId="3" fillId="11" borderId="0" xfId="127" applyFont="1" applyFill="1"/>
    <xf numFmtId="0" fontId="2" fillId="14" borderId="0" xfId="127" applyFont="1" applyFill="1"/>
    <xf numFmtId="0" fontId="2" fillId="0" borderId="0" xfId="127" applyFont="1" applyFill="1" applyAlignment="1">
      <alignment wrapText="1"/>
    </xf>
    <xf numFmtId="0" fontId="37" fillId="0" borderId="0" xfId="1" applyFont="1" applyAlignment="1">
      <alignment horizontal="right" vertical="center" wrapText="1"/>
    </xf>
    <xf numFmtId="0" fontId="31" fillId="0" borderId="0" xfId="1" applyFont="1" applyAlignment="1">
      <alignment vertical="center"/>
    </xf>
    <xf numFmtId="0" fontId="34" fillId="0" borderId="0" xfId="1" applyFont="1" applyAlignment="1">
      <alignment horizontal="center" vertical="center" wrapText="1"/>
    </xf>
    <xf numFmtId="0" fontId="31" fillId="0" borderId="0" xfId="1" applyFont="1"/>
    <xf numFmtId="0" fontId="32" fillId="0" borderId="0" xfId="1" applyFont="1" applyAlignment="1">
      <alignment horizontal="center" vertical="center" wrapText="1"/>
    </xf>
    <xf numFmtId="0" fontId="36" fillId="0" borderId="0" xfId="1" applyFont="1" applyAlignment="1">
      <alignment horizontal="center" vertical="center" wrapText="1"/>
    </xf>
    <xf numFmtId="0" fontId="37" fillId="0" borderId="0" xfId="1" applyFont="1" applyAlignment="1">
      <alignment horizontal="center" vertical="center" wrapText="1"/>
    </xf>
    <xf numFmtId="0" fontId="35" fillId="0" borderId="0" xfId="1" applyFont="1" applyAlignment="1">
      <alignment horizontal="center" vertical="center" wrapText="1"/>
    </xf>
    <xf numFmtId="0" fontId="34" fillId="0" borderId="0" xfId="1" applyFont="1" applyAlignment="1">
      <alignment horizontal="center" vertical="center"/>
    </xf>
  </cellXfs>
  <cellStyles count="735">
    <cellStyle name="Hyperlink" xfId="394" xr:uid="{00000000-0005-0000-0000-00008A010000}"/>
    <cellStyle name="Hyperlink 2" xfId="76" xr:uid="{00000000-0005-0000-0000-00004C000000}"/>
    <cellStyle name="Hyperlink 2 2" xfId="177" xr:uid="{00000000-0005-0000-0000-0000B1000000}"/>
    <cellStyle name="Normal 11 2" xfId="395" xr:uid="{00000000-0005-0000-0000-00008B010000}"/>
    <cellStyle name="Normal 2" xfId="3" xr:uid="{00000000-0005-0000-0000-000003000000}"/>
    <cellStyle name="Normal 2 2" xfId="114" xr:uid="{00000000-0005-0000-0000-000072000000}"/>
    <cellStyle name="Normal 3" xfId="75" xr:uid="{00000000-0005-0000-0000-00004B000000}"/>
    <cellStyle name="Normal 3 2" xfId="176" xr:uid="{00000000-0005-0000-0000-0000B0000000}"/>
    <cellStyle name="Normal 3 2 2" xfId="532" xr:uid="{00000000-0005-0000-0000-000014020000}"/>
    <cellStyle name="Normal 3 2 3" xfId="340" xr:uid="{00000000-0005-0000-0000-000054010000}"/>
    <cellStyle name="Normal 3 2 4" xfId="695" xr:uid="{00000000-0005-0000-0000-0000B7020000}"/>
    <cellStyle name="Normal 3 3" xfId="398" xr:uid="{00000000-0005-0000-0000-00008E010000}"/>
    <cellStyle name="Normal 3 3 2" xfId="578" xr:uid="{00000000-0005-0000-0000-000042020000}"/>
    <cellStyle name="Normal 3 4" xfId="456" xr:uid="{00000000-0005-0000-0000-0000C8010000}"/>
    <cellStyle name="Normal 3 5" xfId="635" xr:uid="{00000000-0005-0000-0000-00007B020000}"/>
    <cellStyle name="Normal 3 6" xfId="264" xr:uid="{00000000-0005-0000-0000-000008010000}"/>
    <cellStyle name="Normal 3 7" xfId="649" xr:uid="{00000000-0005-0000-0000-000089020000}"/>
    <cellStyle name="Normal 4" xfId="81" xr:uid="{00000000-0005-0000-0000-000051000000}"/>
    <cellStyle name="Normal 4 2" xfId="113" xr:uid="{00000000-0005-0000-0000-000071000000}"/>
    <cellStyle name="Normal 4 2 2" xfId="537" xr:uid="{00000000-0005-0000-0000-000019020000}"/>
    <cellStyle name="Normal 4 2 3" xfId="345" xr:uid="{00000000-0005-0000-0000-000059010000}"/>
    <cellStyle name="Normal 4 3" xfId="182" xr:uid="{00000000-0005-0000-0000-0000B6000000}"/>
    <cellStyle name="Normal 4 3 2" xfId="461" xr:uid="{00000000-0005-0000-0000-0000CD010000}"/>
    <cellStyle name="Normal 4 3 3" xfId="700" xr:uid="{00000000-0005-0000-0000-0000BC020000}"/>
    <cellStyle name="Normal 4 4" xfId="269" xr:uid="{00000000-0005-0000-0000-00000D010000}"/>
    <cellStyle name="Normal 4 5" xfId="654" xr:uid="{00000000-0005-0000-0000-00008E020000}"/>
    <cellStyle name="Normal 5" xfId="86" xr:uid="{00000000-0005-0000-0000-000056000000}"/>
    <cellStyle name="Normal 5 2" xfId="112" xr:uid="{00000000-0005-0000-0000-000070000000}"/>
    <cellStyle name="Normal 5 2 2" xfId="542" xr:uid="{00000000-0005-0000-0000-00001E020000}"/>
    <cellStyle name="Normal 5 2 3" xfId="350" xr:uid="{00000000-0005-0000-0000-00005E010000}"/>
    <cellStyle name="Normal 5 3" xfId="187" xr:uid="{00000000-0005-0000-0000-0000BB000000}"/>
    <cellStyle name="Normal 5 3 2" xfId="466" xr:uid="{00000000-0005-0000-0000-0000D2010000}"/>
    <cellStyle name="Normal 5 3 3" xfId="705" xr:uid="{00000000-0005-0000-0000-0000C1020000}"/>
    <cellStyle name="Normal 5 4" xfId="274" xr:uid="{00000000-0005-0000-0000-000012010000}"/>
    <cellStyle name="Normal 5 5" xfId="659" xr:uid="{00000000-0005-0000-0000-000093020000}"/>
    <cellStyle name="Normal 68" xfId="396" xr:uid="{00000000-0005-0000-0000-00008C010000}"/>
    <cellStyle name="Normal_ADAE 2" xfId="397" xr:uid="{00000000-0005-0000-0000-00008D010000}"/>
    <cellStyle name="标题 1 2" xfId="48" xr:uid="{00000000-0005-0000-0000-000030000000}"/>
    <cellStyle name="标题 1 2 2" xfId="155" xr:uid="{00000000-0005-0000-0000-00009B000000}"/>
    <cellStyle name="标题 1 3" xfId="5" xr:uid="{00000000-0005-0000-0000-000005000000}"/>
    <cellStyle name="标题 1 3 2" xfId="129" xr:uid="{00000000-0005-0000-0000-000081000000}"/>
    <cellStyle name="标题 2 2" xfId="49" xr:uid="{00000000-0005-0000-0000-000031000000}"/>
    <cellStyle name="标题 2 2 2" xfId="156" xr:uid="{00000000-0005-0000-0000-00009C000000}"/>
    <cellStyle name="标题 2 3" xfId="6" xr:uid="{00000000-0005-0000-0000-000006000000}"/>
    <cellStyle name="标题 2 3 2" xfId="130" xr:uid="{00000000-0005-0000-0000-000082000000}"/>
    <cellStyle name="标题 3 2" xfId="50" xr:uid="{00000000-0005-0000-0000-000032000000}"/>
    <cellStyle name="标题 3 2 2" xfId="157" xr:uid="{00000000-0005-0000-0000-00009D000000}"/>
    <cellStyle name="标题 3 3" xfId="7" xr:uid="{00000000-0005-0000-0000-000007000000}"/>
    <cellStyle name="标题 3 3 2" xfId="131" xr:uid="{00000000-0005-0000-0000-000083000000}"/>
    <cellStyle name="标题 4 2" xfId="51" xr:uid="{00000000-0005-0000-0000-000033000000}"/>
    <cellStyle name="标题 4 2 2" xfId="158" xr:uid="{00000000-0005-0000-0000-00009E000000}"/>
    <cellStyle name="标题 4 3" xfId="8" xr:uid="{00000000-0005-0000-0000-000008000000}"/>
    <cellStyle name="标题 4 3 2" xfId="132" xr:uid="{00000000-0005-0000-0000-000084000000}"/>
    <cellStyle name="标题 5" xfId="47" xr:uid="{00000000-0005-0000-0000-00002F000000}"/>
    <cellStyle name="标题 5 2" xfId="154" xr:uid="{00000000-0005-0000-0000-00009A000000}"/>
    <cellStyle name="标题 6" xfId="4" xr:uid="{00000000-0005-0000-0000-000004000000}"/>
    <cellStyle name="标题 6 2" xfId="128" xr:uid="{00000000-0005-0000-0000-000080000000}"/>
    <cellStyle name="差 2" xfId="52" xr:uid="{00000000-0005-0000-0000-000034000000}"/>
    <cellStyle name="差 2 2" xfId="159" xr:uid="{00000000-0005-0000-0000-00009F000000}"/>
    <cellStyle name="差 3" xfId="9" xr:uid="{00000000-0005-0000-0000-000009000000}"/>
    <cellStyle name="差 3 2" xfId="133" xr:uid="{00000000-0005-0000-0000-000085000000}"/>
    <cellStyle name="常规" xfId="0" builtinId="0"/>
    <cellStyle name="常规 10" xfId="44" xr:uid="{00000000-0005-0000-0000-00002C000000}"/>
    <cellStyle name="常规 10 10" xfId="152" xr:uid="{00000000-0005-0000-0000-000098000000}"/>
    <cellStyle name="常规 10 10 2" xfId="489" xr:uid="{00000000-0005-0000-0000-0000E9010000}"/>
    <cellStyle name="常规 10 10 3" xfId="297" xr:uid="{00000000-0005-0000-0000-000029010000}"/>
    <cellStyle name="常规 10 10 4" xfId="689" xr:uid="{00000000-0005-0000-0000-0000B1020000}"/>
    <cellStyle name="常规 10 11" xfId="307" xr:uid="{00000000-0005-0000-0000-000033010000}"/>
    <cellStyle name="常规 10 11 2" xfId="499" xr:uid="{00000000-0005-0000-0000-0000F3010000}"/>
    <cellStyle name="常规 10 12" xfId="312" xr:uid="{00000000-0005-0000-0000-000038010000}"/>
    <cellStyle name="常规 10 12 2" xfId="504" xr:uid="{00000000-0005-0000-0000-0000F8010000}"/>
    <cellStyle name="常规 10 13" xfId="316" xr:uid="{00000000-0005-0000-0000-00003C010000}"/>
    <cellStyle name="常规 10 13 2" xfId="508" xr:uid="{00000000-0005-0000-0000-0000FC010000}"/>
    <cellStyle name="常规 10 14" xfId="325" xr:uid="{00000000-0005-0000-0000-000045010000}"/>
    <cellStyle name="常规 10 14 2" xfId="517" xr:uid="{00000000-0005-0000-0000-000005020000}"/>
    <cellStyle name="常规 10 15" xfId="334" xr:uid="{00000000-0005-0000-0000-00004E010000}"/>
    <cellStyle name="常规 10 15 2" xfId="526" xr:uid="{00000000-0005-0000-0000-00000E020000}"/>
    <cellStyle name="常规 10 16" xfId="378" xr:uid="{00000000-0005-0000-0000-00007A010000}"/>
    <cellStyle name="常规 10 16 2" xfId="569" xr:uid="{00000000-0005-0000-0000-000039020000}"/>
    <cellStyle name="常规 10 17" xfId="384" xr:uid="{00000000-0005-0000-0000-000080010000}"/>
    <cellStyle name="常规 10 17 2" xfId="571" xr:uid="{00000000-0005-0000-0000-00003B020000}"/>
    <cellStyle name="常规 10 18" xfId="406" xr:uid="{00000000-0005-0000-0000-000096010000}"/>
    <cellStyle name="常规 10 18 2" xfId="586" xr:uid="{00000000-0005-0000-0000-00004A020000}"/>
    <cellStyle name="常规 10 19" xfId="410" xr:uid="{00000000-0005-0000-0000-00009A010000}"/>
    <cellStyle name="常规 10 19 2" xfId="590" xr:uid="{00000000-0005-0000-0000-00004E020000}"/>
    <cellStyle name="常规 10 2" xfId="74" xr:uid="{00000000-0005-0000-0000-00004A000000}"/>
    <cellStyle name="常规 10 2 10" xfId="631" xr:uid="{00000000-0005-0000-0000-000077020000}"/>
    <cellStyle name="常规 10 2 11" xfId="254" xr:uid="{00000000-0005-0000-0000-0000FE000000}"/>
    <cellStyle name="常规 10 2 12" xfId="648" xr:uid="{00000000-0005-0000-0000-000088020000}"/>
    <cellStyle name="常规 10 2 2" xfId="175" xr:uid="{00000000-0005-0000-0000-0000AF000000}"/>
    <cellStyle name="常规 10 2 2 2" xfId="455" xr:uid="{00000000-0005-0000-0000-0000C7010000}"/>
    <cellStyle name="常规 10 2 2 3" xfId="263" xr:uid="{00000000-0005-0000-0000-000007010000}"/>
    <cellStyle name="常规 10 2 2 4" xfId="694" xr:uid="{00000000-0005-0000-0000-0000B6020000}"/>
    <cellStyle name="常规 10 2 3" xfId="302" xr:uid="{00000000-0005-0000-0000-00002E010000}"/>
    <cellStyle name="常规 10 2 3 2" xfId="494" xr:uid="{00000000-0005-0000-0000-0000EE010000}"/>
    <cellStyle name="常规 10 2 4" xfId="321" xr:uid="{00000000-0005-0000-0000-000041010000}"/>
    <cellStyle name="常规 10 2 4 2" xfId="513" xr:uid="{00000000-0005-0000-0000-000001020000}"/>
    <cellStyle name="常规 10 2 5" xfId="330" xr:uid="{00000000-0005-0000-0000-00004A010000}"/>
    <cellStyle name="常规 10 2 5 2" xfId="522" xr:uid="{00000000-0005-0000-0000-00000A020000}"/>
    <cellStyle name="常规 10 2 6" xfId="339" xr:uid="{00000000-0005-0000-0000-000053010000}"/>
    <cellStyle name="常规 10 2 6 2" xfId="531" xr:uid="{00000000-0005-0000-0000-000013020000}"/>
    <cellStyle name="常规 10 2 7" xfId="388" xr:uid="{00000000-0005-0000-0000-000084010000}"/>
    <cellStyle name="常规 10 2 7 2" xfId="574" xr:uid="{00000000-0005-0000-0000-00003E020000}"/>
    <cellStyle name="常规 10 2 8" xfId="415" xr:uid="{00000000-0005-0000-0000-00009F010000}"/>
    <cellStyle name="常规 10 2 8 2" xfId="595" xr:uid="{00000000-0005-0000-0000-000053020000}"/>
    <cellStyle name="常规 10 2 9" xfId="446" xr:uid="{00000000-0005-0000-0000-0000BE010000}"/>
    <cellStyle name="常规 10 20" xfId="420" xr:uid="{00000000-0005-0000-0000-0000A4010000}"/>
    <cellStyle name="常规 10 20 2" xfId="600" xr:uid="{00000000-0005-0000-0000-000058020000}"/>
    <cellStyle name="常规 10 21" xfId="427" xr:uid="{00000000-0005-0000-0000-0000AB010000}"/>
    <cellStyle name="常规 10 22" xfId="609" xr:uid="{00000000-0005-0000-0000-000061020000}"/>
    <cellStyle name="常规 10 23" xfId="628" xr:uid="{00000000-0005-0000-0000-000074020000}"/>
    <cellStyle name="常规 10 24" xfId="229" xr:uid="{00000000-0005-0000-0000-0000E5000000}"/>
    <cellStyle name="常规 10 25" xfId="643" xr:uid="{00000000-0005-0000-0000-000083020000}"/>
    <cellStyle name="常规 10 3" xfId="80" xr:uid="{00000000-0005-0000-0000-000050000000}"/>
    <cellStyle name="常规 10 3 2" xfId="181" xr:uid="{00000000-0005-0000-0000-0000B5000000}"/>
    <cellStyle name="常规 10 3 2 2" xfId="536" xr:uid="{00000000-0005-0000-0000-000018020000}"/>
    <cellStyle name="常规 10 3 2 3" xfId="344" xr:uid="{00000000-0005-0000-0000-000058010000}"/>
    <cellStyle name="常规 10 3 2 4" xfId="699" xr:uid="{00000000-0005-0000-0000-0000BB020000}"/>
    <cellStyle name="常规 10 3 3" xfId="460" xr:uid="{00000000-0005-0000-0000-0000CC010000}"/>
    <cellStyle name="常规 10 3 4" xfId="268" xr:uid="{00000000-0005-0000-0000-00000C010000}"/>
    <cellStyle name="常规 10 3 5" xfId="653" xr:uid="{00000000-0005-0000-0000-00008D020000}"/>
    <cellStyle name="常规 10 4" xfId="85" xr:uid="{00000000-0005-0000-0000-000055000000}"/>
    <cellStyle name="常规 10 4 2" xfId="186" xr:uid="{00000000-0005-0000-0000-0000BA000000}"/>
    <cellStyle name="常规 10 4 2 2" xfId="541" xr:uid="{00000000-0005-0000-0000-00001D020000}"/>
    <cellStyle name="常规 10 4 2 3" xfId="349" xr:uid="{00000000-0005-0000-0000-00005D010000}"/>
    <cellStyle name="常规 10 4 2 4" xfId="704" xr:uid="{00000000-0005-0000-0000-0000C0020000}"/>
    <cellStyle name="常规 10 4 3" xfId="465" xr:uid="{00000000-0005-0000-0000-0000D1010000}"/>
    <cellStyle name="常规 10 4 4" xfId="273" xr:uid="{00000000-0005-0000-0000-000011010000}"/>
    <cellStyle name="常规 10 4 5" xfId="658" xr:uid="{00000000-0005-0000-0000-000092020000}"/>
    <cellStyle name="常规 10 5" xfId="90" xr:uid="{00000000-0005-0000-0000-00005A000000}"/>
    <cellStyle name="常规 10 5 2" xfId="191" xr:uid="{00000000-0005-0000-0000-0000BF000000}"/>
    <cellStyle name="常规 10 5 2 2" xfId="546" xr:uid="{00000000-0005-0000-0000-000022020000}"/>
    <cellStyle name="常规 10 5 2 3" xfId="354" xr:uid="{00000000-0005-0000-0000-000062010000}"/>
    <cellStyle name="常规 10 5 2 4" xfId="709" xr:uid="{00000000-0005-0000-0000-0000C5020000}"/>
    <cellStyle name="常规 10 5 3" xfId="470" xr:uid="{00000000-0005-0000-0000-0000D6010000}"/>
    <cellStyle name="常规 10 5 4" xfId="278" xr:uid="{00000000-0005-0000-0000-000016010000}"/>
    <cellStyle name="常规 10 5 5" xfId="663" xr:uid="{00000000-0005-0000-0000-000097020000}"/>
    <cellStyle name="常规 10 6" xfId="95" xr:uid="{00000000-0005-0000-0000-00005F000000}"/>
    <cellStyle name="常规 10 6 2" xfId="196" xr:uid="{00000000-0005-0000-0000-0000C4000000}"/>
    <cellStyle name="常规 10 6 2 2" xfId="551" xr:uid="{00000000-0005-0000-0000-000027020000}"/>
    <cellStyle name="常规 10 6 2 3" xfId="359" xr:uid="{00000000-0005-0000-0000-000067010000}"/>
    <cellStyle name="常规 10 6 2 4" xfId="714" xr:uid="{00000000-0005-0000-0000-0000CA020000}"/>
    <cellStyle name="常规 10 6 3" xfId="475" xr:uid="{00000000-0005-0000-0000-0000DB010000}"/>
    <cellStyle name="常规 10 6 4" xfId="283" xr:uid="{00000000-0005-0000-0000-00001B010000}"/>
    <cellStyle name="常规 10 6 5" xfId="668" xr:uid="{00000000-0005-0000-0000-00009C020000}"/>
    <cellStyle name="常规 10 7" xfId="100" xr:uid="{00000000-0005-0000-0000-000064000000}"/>
    <cellStyle name="常规 10 7 2" xfId="201" xr:uid="{00000000-0005-0000-0000-0000C9000000}"/>
    <cellStyle name="常规 10 7 2 2" xfId="556" xr:uid="{00000000-0005-0000-0000-00002C020000}"/>
    <cellStyle name="常规 10 7 2 3" xfId="364" xr:uid="{00000000-0005-0000-0000-00006C010000}"/>
    <cellStyle name="常规 10 7 2 4" xfId="719" xr:uid="{00000000-0005-0000-0000-0000CF020000}"/>
    <cellStyle name="常规 10 7 3" xfId="480" xr:uid="{00000000-0005-0000-0000-0000E0010000}"/>
    <cellStyle name="常规 10 7 4" xfId="288" xr:uid="{00000000-0005-0000-0000-000020010000}"/>
    <cellStyle name="常规 10 7 5" xfId="673" xr:uid="{00000000-0005-0000-0000-0000A1020000}"/>
    <cellStyle name="常规 10 8" xfId="105" xr:uid="{00000000-0005-0000-0000-000069000000}"/>
    <cellStyle name="常规 10 8 2" xfId="206" xr:uid="{00000000-0005-0000-0000-0000CE000000}"/>
    <cellStyle name="常规 10 8 2 2" xfId="561" xr:uid="{00000000-0005-0000-0000-000031020000}"/>
    <cellStyle name="常规 10 8 2 3" xfId="369" xr:uid="{00000000-0005-0000-0000-000071010000}"/>
    <cellStyle name="常规 10 8 2 4" xfId="724" xr:uid="{00000000-0005-0000-0000-0000D4020000}"/>
    <cellStyle name="常规 10 8 3" xfId="485" xr:uid="{00000000-0005-0000-0000-0000E5010000}"/>
    <cellStyle name="常规 10 8 4" xfId="293" xr:uid="{00000000-0005-0000-0000-000025010000}"/>
    <cellStyle name="常规 10 8 5" xfId="678" xr:uid="{00000000-0005-0000-0000-0000A6020000}"/>
    <cellStyle name="常规 10 9" xfId="119" xr:uid="{00000000-0005-0000-0000-000077000000}"/>
    <cellStyle name="常规 10 9 2" xfId="213" xr:uid="{00000000-0005-0000-0000-0000D5000000}"/>
    <cellStyle name="常规 10 9 2 2" xfId="450" xr:uid="{00000000-0005-0000-0000-0000C2010000}"/>
    <cellStyle name="常规 10 9 2 3" xfId="730" xr:uid="{00000000-0005-0000-0000-0000DA020000}"/>
    <cellStyle name="常规 10 9 3" xfId="258" xr:uid="{00000000-0005-0000-0000-000002010000}"/>
    <cellStyle name="常规 10 9 4" xfId="684" xr:uid="{00000000-0005-0000-0000-0000AC020000}"/>
    <cellStyle name="常规 11" xfId="46" xr:uid="{00000000-0005-0000-0000-00002E000000}"/>
    <cellStyle name="常规 11 2" xfId="249" xr:uid="{00000000-0005-0000-0000-0000F9000000}"/>
    <cellStyle name="常规 11 2 2" xfId="389" xr:uid="{00000000-0005-0000-0000-000085010000}"/>
    <cellStyle name="常规 11 2 2 2" xfId="575" xr:uid="{00000000-0005-0000-0000-00003F020000}"/>
    <cellStyle name="常规 11 2 3" xfId="632" xr:uid="{00000000-0005-0000-0000-000078020000}"/>
    <cellStyle name="常规 11 3" xfId="385" xr:uid="{00000000-0005-0000-0000-000081010000}"/>
    <cellStyle name="常规 11 3 2" xfId="572" xr:uid="{00000000-0005-0000-0000-00003C020000}"/>
    <cellStyle name="常规 11 4" xfId="428" xr:uid="{00000000-0005-0000-0000-0000AC010000}"/>
    <cellStyle name="常规 11 5" xfId="610" xr:uid="{00000000-0005-0000-0000-000062020000}"/>
    <cellStyle name="常规 11 6" xfId="629" xr:uid="{00000000-0005-0000-0000-000075020000}"/>
    <cellStyle name="常规 11 7" xfId="230" xr:uid="{00000000-0005-0000-0000-0000E6000000}"/>
    <cellStyle name="常规 12" xfId="45" xr:uid="{00000000-0005-0000-0000-00002D000000}"/>
    <cellStyle name="常规 12 10" xfId="611" xr:uid="{00000000-0005-0000-0000-000063020000}"/>
    <cellStyle name="常规 12 11" xfId="633" xr:uid="{00000000-0005-0000-0000-000079020000}"/>
    <cellStyle name="常规 12 12" xfId="231" xr:uid="{00000000-0005-0000-0000-0000E7000000}"/>
    <cellStyle name="常规 12 13" xfId="644" xr:uid="{00000000-0005-0000-0000-000084020000}"/>
    <cellStyle name="常规 12 2" xfId="120" xr:uid="{00000000-0005-0000-0000-000078000000}"/>
    <cellStyle name="常规 12 2 2" xfId="451" xr:uid="{00000000-0005-0000-0000-0000C3010000}"/>
    <cellStyle name="常规 12 2 3" xfId="259" xr:uid="{00000000-0005-0000-0000-000003010000}"/>
    <cellStyle name="常规 12 3" xfId="153" xr:uid="{00000000-0005-0000-0000-000099000000}"/>
    <cellStyle name="常规 12 3 2" xfId="490" xr:uid="{00000000-0005-0000-0000-0000EA010000}"/>
    <cellStyle name="常规 12 3 3" xfId="298" xr:uid="{00000000-0005-0000-0000-00002A010000}"/>
    <cellStyle name="常规 12 3 4" xfId="690" xr:uid="{00000000-0005-0000-0000-0000B2020000}"/>
    <cellStyle name="常规 12 4" xfId="317" xr:uid="{00000000-0005-0000-0000-00003D010000}"/>
    <cellStyle name="常规 12 4 2" xfId="509" xr:uid="{00000000-0005-0000-0000-0000FD010000}"/>
    <cellStyle name="常规 12 5" xfId="326" xr:uid="{00000000-0005-0000-0000-000046010000}"/>
    <cellStyle name="常规 12 5 2" xfId="518" xr:uid="{00000000-0005-0000-0000-000006020000}"/>
    <cellStyle name="常规 12 6" xfId="335" xr:uid="{00000000-0005-0000-0000-00004F010000}"/>
    <cellStyle name="常规 12 6 2" xfId="527" xr:uid="{00000000-0005-0000-0000-00000F020000}"/>
    <cellStyle name="常规 12 7" xfId="390" xr:uid="{00000000-0005-0000-0000-000086010000}"/>
    <cellStyle name="常规 12 7 2" xfId="576" xr:uid="{00000000-0005-0000-0000-000040020000}"/>
    <cellStyle name="常规 12 8" xfId="411" xr:uid="{00000000-0005-0000-0000-00009B010000}"/>
    <cellStyle name="常规 12 8 2" xfId="591" xr:uid="{00000000-0005-0000-0000-00004F020000}"/>
    <cellStyle name="常规 12 9" xfId="429" xr:uid="{00000000-0005-0000-0000-0000AD010000}"/>
    <cellStyle name="常规 13" xfId="30" xr:uid="{00000000-0005-0000-0000-00001E000000}"/>
    <cellStyle name="常规 14" xfId="91" xr:uid="{00000000-0005-0000-0000-00005B000000}"/>
    <cellStyle name="常规 14 2" xfId="192" xr:uid="{00000000-0005-0000-0000-0000C0000000}"/>
    <cellStyle name="常规 14 2 2" xfId="471" xr:uid="{00000000-0005-0000-0000-0000D7010000}"/>
    <cellStyle name="常规 14 2 3" xfId="279" xr:uid="{00000000-0005-0000-0000-000017010000}"/>
    <cellStyle name="常规 14 2 4" xfId="710" xr:uid="{00000000-0005-0000-0000-0000C6020000}"/>
    <cellStyle name="常规 14 3" xfId="355" xr:uid="{00000000-0005-0000-0000-000063010000}"/>
    <cellStyle name="常规 14 3 2" xfId="547" xr:uid="{00000000-0005-0000-0000-000023020000}"/>
    <cellStyle name="常规 14 4" xfId="399" xr:uid="{00000000-0005-0000-0000-00008F010000}"/>
    <cellStyle name="常规 14 4 2" xfId="579" xr:uid="{00000000-0005-0000-0000-000043020000}"/>
    <cellStyle name="常规 14 5" xfId="430" xr:uid="{00000000-0005-0000-0000-0000AE010000}"/>
    <cellStyle name="常规 14 6" xfId="612" xr:uid="{00000000-0005-0000-0000-000064020000}"/>
    <cellStyle name="常规 14 7" xfId="636" xr:uid="{00000000-0005-0000-0000-00007C020000}"/>
    <cellStyle name="常规 14 8" xfId="232" xr:uid="{00000000-0005-0000-0000-0000E8000000}"/>
    <cellStyle name="常规 14 9" xfId="664" xr:uid="{00000000-0005-0000-0000-000098020000}"/>
    <cellStyle name="常规 15" xfId="33" xr:uid="{00000000-0005-0000-0000-000021000000}"/>
    <cellStyle name="常规 15 2" xfId="247" xr:uid="{00000000-0005-0000-0000-0000F7000000}"/>
    <cellStyle name="常规 15 3" xfId="400" xr:uid="{00000000-0005-0000-0000-000090010000}"/>
    <cellStyle name="常规 15 3 2" xfId="580" xr:uid="{00000000-0005-0000-0000-000044020000}"/>
    <cellStyle name="常规 15 4" xfId="431" xr:uid="{00000000-0005-0000-0000-0000AF010000}"/>
    <cellStyle name="常规 15 5" xfId="613" xr:uid="{00000000-0005-0000-0000-000065020000}"/>
    <cellStyle name="常规 15 6" xfId="637" xr:uid="{00000000-0005-0000-0000-00007D020000}"/>
    <cellStyle name="常规 15 7" xfId="233" xr:uid="{00000000-0005-0000-0000-0000E9000000}"/>
    <cellStyle name="常规 16" xfId="96" xr:uid="{00000000-0005-0000-0000-000060000000}"/>
    <cellStyle name="常规 16 2" xfId="197" xr:uid="{00000000-0005-0000-0000-0000C5000000}"/>
    <cellStyle name="常规 16 2 2" xfId="476" xr:uid="{00000000-0005-0000-0000-0000DC010000}"/>
    <cellStyle name="常规 16 2 3" xfId="284" xr:uid="{00000000-0005-0000-0000-00001C010000}"/>
    <cellStyle name="常规 16 2 4" xfId="715" xr:uid="{00000000-0005-0000-0000-0000CB020000}"/>
    <cellStyle name="常规 16 3" xfId="360" xr:uid="{00000000-0005-0000-0000-000068010000}"/>
    <cellStyle name="常规 16 3 2" xfId="552" xr:uid="{00000000-0005-0000-0000-000028020000}"/>
    <cellStyle name="常规 16 4" xfId="401" xr:uid="{00000000-0005-0000-0000-000091010000}"/>
    <cellStyle name="常规 16 4 2" xfId="581" xr:uid="{00000000-0005-0000-0000-000045020000}"/>
    <cellStyle name="常规 16 5" xfId="432" xr:uid="{00000000-0005-0000-0000-0000B0010000}"/>
    <cellStyle name="常规 16 6" xfId="614" xr:uid="{00000000-0005-0000-0000-000066020000}"/>
    <cellStyle name="常规 16 7" xfId="638" xr:uid="{00000000-0005-0000-0000-00007E020000}"/>
    <cellStyle name="常规 16 8" xfId="234" xr:uid="{00000000-0005-0000-0000-0000EA000000}"/>
    <cellStyle name="常规 16 9" xfId="669" xr:uid="{00000000-0005-0000-0000-00009D020000}"/>
    <cellStyle name="常规 17" xfId="101" xr:uid="{00000000-0005-0000-0000-000065000000}"/>
    <cellStyle name="常规 17 2" xfId="202" xr:uid="{00000000-0005-0000-0000-0000CA000000}"/>
    <cellStyle name="常规 17 2 2" xfId="481" xr:uid="{00000000-0005-0000-0000-0000E1010000}"/>
    <cellStyle name="常规 17 2 3" xfId="289" xr:uid="{00000000-0005-0000-0000-000021010000}"/>
    <cellStyle name="常规 17 2 4" xfId="720" xr:uid="{00000000-0005-0000-0000-0000D0020000}"/>
    <cellStyle name="常规 17 3" xfId="365" xr:uid="{00000000-0005-0000-0000-00006D010000}"/>
    <cellStyle name="常规 17 3 2" xfId="557" xr:uid="{00000000-0005-0000-0000-00002D020000}"/>
    <cellStyle name="常规 17 4" xfId="433" xr:uid="{00000000-0005-0000-0000-0000B1010000}"/>
    <cellStyle name="常规 17 5" xfId="615" xr:uid="{00000000-0005-0000-0000-000067020000}"/>
    <cellStyle name="常规 17 6" xfId="235" xr:uid="{00000000-0005-0000-0000-0000EB000000}"/>
    <cellStyle name="常规 17 7" xfId="674" xr:uid="{00000000-0005-0000-0000-0000A2020000}"/>
    <cellStyle name="常规 18" xfId="2" xr:uid="{00000000-0005-0000-0000-000002000000}"/>
    <cellStyle name="常规 18 2" xfId="434" xr:uid="{00000000-0005-0000-0000-0000B2010000}"/>
    <cellStyle name="常规 18 3" xfId="616" xr:uid="{00000000-0005-0000-0000-000068020000}"/>
    <cellStyle name="常规 18 4" xfId="236" xr:uid="{00000000-0005-0000-0000-0000EC000000}"/>
    <cellStyle name="常规 19" xfId="106" xr:uid="{00000000-0005-0000-0000-00006A000000}"/>
    <cellStyle name="常规 19 2" xfId="435" xr:uid="{00000000-0005-0000-0000-0000B3010000}"/>
    <cellStyle name="常规 19 3" xfId="617" xr:uid="{00000000-0005-0000-0000-000069020000}"/>
    <cellStyle name="常规 19 4" xfId="237" xr:uid="{00000000-0005-0000-0000-0000ED000000}"/>
    <cellStyle name="常规 2" xfId="10" xr:uid="{00000000-0005-0000-0000-00000A000000}"/>
    <cellStyle name="常规 2 2" xfId="11" xr:uid="{00000000-0005-0000-0000-00000B000000}"/>
    <cellStyle name="常规 2 2 2" xfId="42" xr:uid="{00000000-0005-0000-0000-00002A000000}"/>
    <cellStyle name="常规 2 2 2 2" xfId="40" xr:uid="{00000000-0005-0000-0000-000028000000}"/>
    <cellStyle name="常规 2 2 2 2 2" xfId="72" xr:uid="{00000000-0005-0000-0000-000048000000}"/>
    <cellStyle name="常规 2 2 3" xfId="39" xr:uid="{00000000-0005-0000-0000-000027000000}"/>
    <cellStyle name="常规 2 2 3 2" xfId="252" xr:uid="{00000000-0005-0000-0000-0000FC000000}"/>
    <cellStyle name="常规 2 2 3 3" xfId="225" xr:uid="{00000000-0005-0000-0000-0000E1000000}"/>
    <cellStyle name="常规 2 2 4" xfId="54" xr:uid="{00000000-0005-0000-0000-000036000000}"/>
    <cellStyle name="常规 2 2 5" xfId="219" xr:uid="{00000000-0005-0000-0000-0000DB000000}"/>
    <cellStyle name="常规 2 3" xfId="38" xr:uid="{00000000-0005-0000-0000-000026000000}"/>
    <cellStyle name="常规 2 3 2" xfId="71" xr:uid="{00000000-0005-0000-0000-000047000000}"/>
    <cellStyle name="常规 2 3 3" xfId="216" xr:uid="{00000000-0005-0000-0000-0000D8000000}"/>
    <cellStyle name="常规 2 3 3 2" xfId="246" xr:uid="{00000000-0005-0000-0000-0000F6000000}"/>
    <cellStyle name="常规 2 3 4" xfId="601" xr:uid="{00000000-0005-0000-0000-000059020000}"/>
    <cellStyle name="常规 2 3 5" xfId="626" xr:uid="{00000000-0005-0000-0000-000072020000}"/>
    <cellStyle name="常规 2 3 6" xfId="224" xr:uid="{00000000-0005-0000-0000-0000E0000000}"/>
    <cellStyle name="常规 2 3 7" xfId="734" xr:uid="{C8CD3A3B-FBE3-4106-A6AA-9C2F0221B3D2}"/>
    <cellStyle name="常规 2 4" xfId="36" xr:uid="{00000000-0005-0000-0000-000024000000}"/>
    <cellStyle name="常规 2 4 2" xfId="386" xr:uid="{00000000-0005-0000-0000-000082010000}"/>
    <cellStyle name="常规 2 5" xfId="53" xr:uid="{00000000-0005-0000-0000-000035000000}"/>
    <cellStyle name="常规 2 5 2" xfId="391" xr:uid="{00000000-0005-0000-0000-000087010000}"/>
    <cellStyle name="常规 2 6" xfId="29" xr:uid="{00000000-0005-0000-0000-00001D000000}"/>
    <cellStyle name="常规 2 7" xfId="245" xr:uid="{00000000-0005-0000-0000-0000F5000000}"/>
    <cellStyle name="常规 2 8" xfId="218" xr:uid="{00000000-0005-0000-0000-0000DA000000}"/>
    <cellStyle name="常规 20" xfId="109" xr:uid="{00000000-0005-0000-0000-00006D000000}"/>
    <cellStyle name="常规 20 2" xfId="436" xr:uid="{00000000-0005-0000-0000-0000B4010000}"/>
    <cellStyle name="常规 20 3" xfId="618" xr:uid="{00000000-0005-0000-0000-00006A020000}"/>
    <cellStyle name="常规 20 4" xfId="238" xr:uid="{00000000-0005-0000-0000-0000EE000000}"/>
    <cellStyle name="常规 21" xfId="107" xr:uid="{00000000-0005-0000-0000-00006B000000}"/>
    <cellStyle name="常规 21 2" xfId="437" xr:uid="{00000000-0005-0000-0000-0000B5010000}"/>
    <cellStyle name="常规 21 3" xfId="619" xr:uid="{00000000-0005-0000-0000-00006B020000}"/>
    <cellStyle name="常规 21 4" xfId="239" xr:uid="{00000000-0005-0000-0000-0000EF000000}"/>
    <cellStyle name="常规 22" xfId="108" xr:uid="{00000000-0005-0000-0000-00006C000000}"/>
    <cellStyle name="常规 22 2" xfId="438" xr:uid="{00000000-0005-0000-0000-0000B6010000}"/>
    <cellStyle name="常规 22 3" xfId="620" xr:uid="{00000000-0005-0000-0000-00006C020000}"/>
    <cellStyle name="常规 22 4" xfId="240" xr:uid="{00000000-0005-0000-0000-0000F0000000}"/>
    <cellStyle name="常规 23" xfId="110" xr:uid="{00000000-0005-0000-0000-00006E000000}"/>
    <cellStyle name="常规 23 2" xfId="207" xr:uid="{00000000-0005-0000-0000-0000CF000000}"/>
    <cellStyle name="常规 23 2 2" xfId="439" xr:uid="{00000000-0005-0000-0000-0000B7010000}"/>
    <cellStyle name="常规 23 2 3" xfId="725" xr:uid="{00000000-0005-0000-0000-0000D5020000}"/>
    <cellStyle name="常规 23 3" xfId="621" xr:uid="{00000000-0005-0000-0000-00006D020000}"/>
    <cellStyle name="常规 23 4" xfId="241" xr:uid="{00000000-0005-0000-0000-0000F1000000}"/>
    <cellStyle name="常规 23 5" xfId="679" xr:uid="{00000000-0005-0000-0000-0000A7020000}"/>
    <cellStyle name="常规 24" xfId="115" xr:uid="{00000000-0005-0000-0000-000073000000}"/>
    <cellStyle name="常规 24 2" xfId="209" xr:uid="{00000000-0005-0000-0000-0000D1000000}"/>
    <cellStyle name="常规 24 2 2" xfId="440" xr:uid="{00000000-0005-0000-0000-0000B8010000}"/>
    <cellStyle name="常规 24 2 3" xfId="726" xr:uid="{00000000-0005-0000-0000-0000D6020000}"/>
    <cellStyle name="常规 24 3" xfId="622" xr:uid="{00000000-0005-0000-0000-00006E020000}"/>
    <cellStyle name="常规 24 4" xfId="242" xr:uid="{00000000-0005-0000-0000-0000F2000000}"/>
    <cellStyle name="常规 24 5" xfId="680" xr:uid="{00000000-0005-0000-0000-0000A8020000}"/>
    <cellStyle name="常规 25" xfId="121" xr:uid="{00000000-0005-0000-0000-000079000000}"/>
    <cellStyle name="常规 25 2" xfId="441" xr:uid="{00000000-0005-0000-0000-0000B9010000}"/>
    <cellStyle name="常规 25 3" xfId="623" xr:uid="{00000000-0005-0000-0000-00006F020000}"/>
    <cellStyle name="常规 25 4" xfId="243" xr:uid="{00000000-0005-0000-0000-0000F3000000}"/>
    <cellStyle name="常规 26" xfId="122" xr:uid="{00000000-0005-0000-0000-00007A000000}"/>
    <cellStyle name="常规 26 2" xfId="442" xr:uid="{00000000-0005-0000-0000-0000BA010000}"/>
    <cellStyle name="常规 26 3" xfId="244" xr:uid="{00000000-0005-0000-0000-0000F4000000}"/>
    <cellStyle name="常规 27" xfId="123" xr:uid="{00000000-0005-0000-0000-00007B000000}"/>
    <cellStyle name="常规 27 2" xfId="495" xr:uid="{00000000-0005-0000-0000-0000EF010000}"/>
    <cellStyle name="常规 27 3" xfId="303" xr:uid="{00000000-0005-0000-0000-00002F010000}"/>
    <cellStyle name="常规 28" xfId="124" xr:uid="{00000000-0005-0000-0000-00007C000000}"/>
    <cellStyle name="常规 28 2" xfId="500" xr:uid="{00000000-0005-0000-0000-0000F4010000}"/>
    <cellStyle name="常规 28 3" xfId="308" xr:uid="{00000000-0005-0000-0000-000034010000}"/>
    <cellStyle name="常规 29" xfId="125" xr:uid="{00000000-0005-0000-0000-00007D000000}"/>
    <cellStyle name="常规 29 2" xfId="562" xr:uid="{00000000-0005-0000-0000-000032020000}"/>
    <cellStyle name="常规 29 3" xfId="370" xr:uid="{00000000-0005-0000-0000-000072010000}"/>
    <cellStyle name="常规 3" xfId="12" xr:uid="{00000000-0005-0000-0000-00000C000000}"/>
    <cellStyle name="常规 3 2" xfId="383" xr:uid="{00000000-0005-0000-0000-00007F010000}"/>
    <cellStyle name="常规 3 3" xfId="13" xr:uid="{00000000-0005-0000-0000-00000D000000}"/>
    <cellStyle name="常规 30" xfId="126" xr:uid="{00000000-0005-0000-0000-00007E000000}"/>
    <cellStyle name="常规 30 2" xfId="582" xr:uid="{00000000-0005-0000-0000-000046020000}"/>
    <cellStyle name="常规 30 3" xfId="402" xr:uid="{00000000-0005-0000-0000-000092010000}"/>
    <cellStyle name="常规 31" xfId="127" xr:uid="{00000000-0005-0000-0000-00007F000000}"/>
    <cellStyle name="常规 31 2" xfId="596" xr:uid="{00000000-0005-0000-0000-000054020000}"/>
    <cellStyle name="常规 31 3" xfId="416" xr:uid="{00000000-0005-0000-0000-0000A0010000}"/>
    <cellStyle name="常规 31 4" xfId="685" xr:uid="{00000000-0005-0000-0000-0000AD020000}"/>
    <cellStyle name="常规 32" xfId="214" xr:uid="{00000000-0005-0000-0000-0000D6000000}"/>
    <cellStyle name="常规 32 2" xfId="624" xr:uid="{00000000-0005-0000-0000-000070020000}"/>
    <cellStyle name="常规 33" xfId="625" xr:uid="{00000000-0005-0000-0000-000071020000}"/>
    <cellStyle name="常规 34" xfId="731" xr:uid="{00000000-0005-0000-0000-00000A030000}"/>
    <cellStyle name="常规 4" xfId="1" xr:uid="{00000000-0005-0000-0000-000001000000}"/>
    <cellStyle name="常规 5" xfId="14" xr:uid="{00000000-0005-0000-0000-00000E000000}"/>
    <cellStyle name="常规 5 2" xfId="41" xr:uid="{00000000-0005-0000-0000-000029000000}"/>
    <cellStyle name="常规 5 3" xfId="55" xr:uid="{00000000-0005-0000-0000-000037000000}"/>
    <cellStyle name="常规 5 4" xfId="215" xr:uid="{00000000-0005-0000-0000-0000D7000000}"/>
    <cellStyle name="常规 5 4 2" xfId="248" xr:uid="{00000000-0005-0000-0000-0000F8000000}"/>
    <cellStyle name="常规 5 5" xfId="605" xr:uid="{00000000-0005-0000-0000-00005D020000}"/>
    <cellStyle name="常规 6" xfId="15" xr:uid="{00000000-0005-0000-0000-00000F000000}"/>
    <cellStyle name="常规 6 2" xfId="56" xr:uid="{00000000-0005-0000-0000-000038000000}"/>
    <cellStyle name="常规 6 3" xfId="220" xr:uid="{00000000-0005-0000-0000-0000DC000000}"/>
    <cellStyle name="常规 7" xfId="31" xr:uid="{00000000-0005-0000-0000-00001F000000}"/>
    <cellStyle name="常规 7 10" xfId="146" xr:uid="{00000000-0005-0000-0000-000092000000}"/>
    <cellStyle name="常规 7 10 2" xfId="486" xr:uid="{00000000-0005-0000-0000-0000E6010000}"/>
    <cellStyle name="常规 7 10 3" xfId="294" xr:uid="{00000000-0005-0000-0000-000026010000}"/>
    <cellStyle name="常规 7 10 4" xfId="686" xr:uid="{00000000-0005-0000-0000-0000AE020000}"/>
    <cellStyle name="常规 7 11" xfId="304" xr:uid="{00000000-0005-0000-0000-000030010000}"/>
    <cellStyle name="常规 7 11 2" xfId="496" xr:uid="{00000000-0005-0000-0000-0000F0010000}"/>
    <cellStyle name="常规 7 12" xfId="309" xr:uid="{00000000-0005-0000-0000-000035010000}"/>
    <cellStyle name="常规 7 12 2" xfId="501" xr:uid="{00000000-0005-0000-0000-0000F5010000}"/>
    <cellStyle name="常规 7 13" xfId="313" xr:uid="{00000000-0005-0000-0000-000039010000}"/>
    <cellStyle name="常规 7 13 2" xfId="505" xr:uid="{00000000-0005-0000-0000-0000F9010000}"/>
    <cellStyle name="常规 7 14" xfId="322" xr:uid="{00000000-0005-0000-0000-000042010000}"/>
    <cellStyle name="常规 7 14 2" xfId="514" xr:uid="{00000000-0005-0000-0000-000002020000}"/>
    <cellStyle name="常规 7 15" xfId="331" xr:uid="{00000000-0005-0000-0000-00004B010000}"/>
    <cellStyle name="常规 7 15 2" xfId="523" xr:uid="{00000000-0005-0000-0000-00000B020000}"/>
    <cellStyle name="常规 7 16" xfId="374" xr:uid="{00000000-0005-0000-0000-000076010000}"/>
    <cellStyle name="常规 7 16 2" xfId="566" xr:uid="{00000000-0005-0000-0000-000036020000}"/>
    <cellStyle name="常规 7 17" xfId="380" xr:uid="{00000000-0005-0000-0000-00007C010000}"/>
    <cellStyle name="常规 7 18" xfId="403" xr:uid="{00000000-0005-0000-0000-000093010000}"/>
    <cellStyle name="常规 7 18 2" xfId="583" xr:uid="{00000000-0005-0000-0000-000047020000}"/>
    <cellStyle name="常规 7 19" xfId="407" xr:uid="{00000000-0005-0000-0000-000097010000}"/>
    <cellStyle name="常规 7 19 2" xfId="587" xr:uid="{00000000-0005-0000-0000-00004B020000}"/>
    <cellStyle name="常规 7 2" xfId="68" xr:uid="{00000000-0005-0000-0000-000044000000}"/>
    <cellStyle name="常规 7 2 10" xfId="424" xr:uid="{00000000-0005-0000-0000-0000A8010000}"/>
    <cellStyle name="常规 7 2 11" xfId="606" xr:uid="{00000000-0005-0000-0000-00005E020000}"/>
    <cellStyle name="常规 7 2 12" xfId="634" xr:uid="{00000000-0005-0000-0000-00007A020000}"/>
    <cellStyle name="常规 7 2 13" xfId="226" xr:uid="{00000000-0005-0000-0000-0000E2000000}"/>
    <cellStyle name="常规 7 2 14" xfId="645" xr:uid="{00000000-0005-0000-0000-000085020000}"/>
    <cellStyle name="常规 7 2 2" xfId="171" xr:uid="{00000000-0005-0000-0000-0000AB000000}"/>
    <cellStyle name="常规 7 2 2 2" xfId="452" xr:uid="{00000000-0005-0000-0000-0000C4010000}"/>
    <cellStyle name="常规 7 2 2 3" xfId="260" xr:uid="{00000000-0005-0000-0000-000004010000}"/>
    <cellStyle name="常规 7 2 2 4" xfId="691" xr:uid="{00000000-0005-0000-0000-0000B3020000}"/>
    <cellStyle name="常规 7 2 3" xfId="299" xr:uid="{00000000-0005-0000-0000-00002B010000}"/>
    <cellStyle name="常规 7 2 3 2" xfId="491" xr:uid="{00000000-0005-0000-0000-0000EB010000}"/>
    <cellStyle name="常规 7 2 4" xfId="318" xr:uid="{00000000-0005-0000-0000-00003E010000}"/>
    <cellStyle name="常规 7 2 4 2" xfId="510" xr:uid="{00000000-0005-0000-0000-0000FE010000}"/>
    <cellStyle name="常规 7 2 5" xfId="327" xr:uid="{00000000-0005-0000-0000-000047010000}"/>
    <cellStyle name="常规 7 2 5 2" xfId="519" xr:uid="{00000000-0005-0000-0000-000007020000}"/>
    <cellStyle name="常规 7 2 6" xfId="336" xr:uid="{00000000-0005-0000-0000-000050010000}"/>
    <cellStyle name="常规 7 2 6 2" xfId="528" xr:uid="{00000000-0005-0000-0000-000010020000}"/>
    <cellStyle name="常规 7 2 7" xfId="373" xr:uid="{00000000-0005-0000-0000-000075010000}"/>
    <cellStyle name="常规 7 2 7 2" xfId="565" xr:uid="{00000000-0005-0000-0000-000035020000}"/>
    <cellStyle name="常规 7 2 8" xfId="392" xr:uid="{00000000-0005-0000-0000-000088010000}"/>
    <cellStyle name="常规 7 2 8 2" xfId="577" xr:uid="{00000000-0005-0000-0000-000041020000}"/>
    <cellStyle name="常规 7 2 9" xfId="412" xr:uid="{00000000-0005-0000-0000-00009C010000}"/>
    <cellStyle name="常规 7 2 9 2" xfId="592" xr:uid="{00000000-0005-0000-0000-000050020000}"/>
    <cellStyle name="常规 7 20" xfId="417" xr:uid="{00000000-0005-0000-0000-0000A1010000}"/>
    <cellStyle name="常规 7 20 2" xfId="597" xr:uid="{00000000-0005-0000-0000-000055020000}"/>
    <cellStyle name="常规 7 21" xfId="221" xr:uid="{00000000-0005-0000-0000-0000DD000000}"/>
    <cellStyle name="常规 7 22" xfId="421" xr:uid="{00000000-0005-0000-0000-0000A5010000}"/>
    <cellStyle name="常规 7 23" xfId="602" xr:uid="{00000000-0005-0000-0000-00005A020000}"/>
    <cellStyle name="常规 7 24" xfId="217" xr:uid="{00000000-0005-0000-0000-0000D9000000}"/>
    <cellStyle name="常规 7 25" xfId="640" xr:uid="{00000000-0005-0000-0000-000080020000}"/>
    <cellStyle name="常规 7 3" xfId="77" xr:uid="{00000000-0005-0000-0000-00004D000000}"/>
    <cellStyle name="常规 7 3 2" xfId="178" xr:uid="{00000000-0005-0000-0000-0000B2000000}"/>
    <cellStyle name="常规 7 3 2 2" xfId="457" xr:uid="{00000000-0005-0000-0000-0000C9010000}"/>
    <cellStyle name="常规 7 3 2 3" xfId="265" xr:uid="{00000000-0005-0000-0000-000009010000}"/>
    <cellStyle name="常规 7 3 2 4" xfId="696" xr:uid="{00000000-0005-0000-0000-0000B8020000}"/>
    <cellStyle name="常规 7 3 3" xfId="341" xr:uid="{00000000-0005-0000-0000-000055010000}"/>
    <cellStyle name="常规 7 3 3 2" xfId="533" xr:uid="{00000000-0005-0000-0000-000015020000}"/>
    <cellStyle name="常规 7 3 4" xfId="372" xr:uid="{00000000-0005-0000-0000-000074010000}"/>
    <cellStyle name="常规 7 3 4 2" xfId="564" xr:uid="{00000000-0005-0000-0000-000034020000}"/>
    <cellStyle name="常规 7 3 5" xfId="443" xr:uid="{00000000-0005-0000-0000-0000BB010000}"/>
    <cellStyle name="常规 7 3 6" xfId="250" xr:uid="{00000000-0005-0000-0000-0000FA000000}"/>
    <cellStyle name="常规 7 3 7" xfId="650" xr:uid="{00000000-0005-0000-0000-00008A020000}"/>
    <cellStyle name="常规 7 4" xfId="82" xr:uid="{00000000-0005-0000-0000-000052000000}"/>
    <cellStyle name="常规 7 4 2" xfId="183" xr:uid="{00000000-0005-0000-0000-0000B7000000}"/>
    <cellStyle name="常规 7 4 2 2" xfId="538" xr:uid="{00000000-0005-0000-0000-00001A020000}"/>
    <cellStyle name="常规 7 4 2 3" xfId="346" xr:uid="{00000000-0005-0000-0000-00005A010000}"/>
    <cellStyle name="常规 7 4 2 4" xfId="701" xr:uid="{00000000-0005-0000-0000-0000BD020000}"/>
    <cellStyle name="常规 7 4 3" xfId="371" xr:uid="{00000000-0005-0000-0000-000073010000}"/>
    <cellStyle name="常规 7 4 3 2" xfId="563" xr:uid="{00000000-0005-0000-0000-000033020000}"/>
    <cellStyle name="常规 7 4 4" xfId="462" xr:uid="{00000000-0005-0000-0000-0000CE010000}"/>
    <cellStyle name="常规 7 4 5" xfId="270" xr:uid="{00000000-0005-0000-0000-00000E010000}"/>
    <cellStyle name="常规 7 4 6" xfId="655" xr:uid="{00000000-0005-0000-0000-00008F020000}"/>
    <cellStyle name="常规 7 5" xfId="87" xr:uid="{00000000-0005-0000-0000-000057000000}"/>
    <cellStyle name="常规 7 5 2" xfId="188" xr:uid="{00000000-0005-0000-0000-0000BC000000}"/>
    <cellStyle name="常规 7 5 2 2" xfId="543" xr:uid="{00000000-0005-0000-0000-00001F020000}"/>
    <cellStyle name="常规 7 5 2 3" xfId="351" xr:uid="{00000000-0005-0000-0000-00005F010000}"/>
    <cellStyle name="常规 7 5 2 4" xfId="706" xr:uid="{00000000-0005-0000-0000-0000C2020000}"/>
    <cellStyle name="常规 7 5 3" xfId="467" xr:uid="{00000000-0005-0000-0000-0000D3010000}"/>
    <cellStyle name="常规 7 5 4" xfId="275" xr:uid="{00000000-0005-0000-0000-000013010000}"/>
    <cellStyle name="常规 7 5 5" xfId="660" xr:uid="{00000000-0005-0000-0000-000094020000}"/>
    <cellStyle name="常规 7 6" xfId="92" xr:uid="{00000000-0005-0000-0000-00005C000000}"/>
    <cellStyle name="常规 7 6 2" xfId="193" xr:uid="{00000000-0005-0000-0000-0000C1000000}"/>
    <cellStyle name="常规 7 6 2 2" xfId="548" xr:uid="{00000000-0005-0000-0000-000024020000}"/>
    <cellStyle name="常规 7 6 2 3" xfId="356" xr:uid="{00000000-0005-0000-0000-000064010000}"/>
    <cellStyle name="常规 7 6 2 4" xfId="711" xr:uid="{00000000-0005-0000-0000-0000C7020000}"/>
    <cellStyle name="常规 7 6 3" xfId="472" xr:uid="{00000000-0005-0000-0000-0000D8010000}"/>
    <cellStyle name="常规 7 6 4" xfId="280" xr:uid="{00000000-0005-0000-0000-000018010000}"/>
    <cellStyle name="常规 7 6 5" xfId="665" xr:uid="{00000000-0005-0000-0000-000099020000}"/>
    <cellStyle name="常规 7 7" xfId="97" xr:uid="{00000000-0005-0000-0000-000061000000}"/>
    <cellStyle name="常规 7 7 2" xfId="198" xr:uid="{00000000-0005-0000-0000-0000C6000000}"/>
    <cellStyle name="常规 7 7 2 2" xfId="553" xr:uid="{00000000-0005-0000-0000-000029020000}"/>
    <cellStyle name="常规 7 7 2 3" xfId="361" xr:uid="{00000000-0005-0000-0000-000069010000}"/>
    <cellStyle name="常规 7 7 2 4" xfId="716" xr:uid="{00000000-0005-0000-0000-0000CC020000}"/>
    <cellStyle name="常规 7 7 3" xfId="477" xr:uid="{00000000-0005-0000-0000-0000DD010000}"/>
    <cellStyle name="常规 7 7 4" xfId="285" xr:uid="{00000000-0005-0000-0000-00001D010000}"/>
    <cellStyle name="常规 7 7 5" xfId="670" xr:uid="{00000000-0005-0000-0000-00009E020000}"/>
    <cellStyle name="常规 7 8" xfId="102" xr:uid="{00000000-0005-0000-0000-000066000000}"/>
    <cellStyle name="常规 7 8 2" xfId="203" xr:uid="{00000000-0005-0000-0000-0000CB000000}"/>
    <cellStyle name="常规 7 8 2 2" xfId="558" xr:uid="{00000000-0005-0000-0000-00002E020000}"/>
    <cellStyle name="常规 7 8 2 3" xfId="366" xr:uid="{00000000-0005-0000-0000-00006E010000}"/>
    <cellStyle name="常规 7 8 2 4" xfId="721" xr:uid="{00000000-0005-0000-0000-0000D1020000}"/>
    <cellStyle name="常规 7 8 3" xfId="482" xr:uid="{00000000-0005-0000-0000-0000E2010000}"/>
    <cellStyle name="常规 7 8 4" xfId="290" xr:uid="{00000000-0005-0000-0000-000022010000}"/>
    <cellStyle name="常规 7 8 5" xfId="675" xr:uid="{00000000-0005-0000-0000-0000A3020000}"/>
    <cellStyle name="常规 7 9" xfId="116" xr:uid="{00000000-0005-0000-0000-000074000000}"/>
    <cellStyle name="常规 7 9 2" xfId="210" xr:uid="{00000000-0005-0000-0000-0000D2000000}"/>
    <cellStyle name="常规 7 9 2 2" xfId="447" xr:uid="{00000000-0005-0000-0000-0000BF010000}"/>
    <cellStyle name="常规 7 9 2 3" xfId="727" xr:uid="{00000000-0005-0000-0000-0000D7020000}"/>
    <cellStyle name="常规 7 9 3" xfId="255" xr:uid="{00000000-0005-0000-0000-0000FF000000}"/>
    <cellStyle name="常规 7 9 4" xfId="681" xr:uid="{00000000-0005-0000-0000-0000A9020000}"/>
    <cellStyle name="常规 8" xfId="35" xr:uid="{00000000-0005-0000-0000-000023000000}"/>
    <cellStyle name="常规 8 10" xfId="149" xr:uid="{00000000-0005-0000-0000-000095000000}"/>
    <cellStyle name="常规 8 10 2" xfId="487" xr:uid="{00000000-0005-0000-0000-0000E7010000}"/>
    <cellStyle name="常规 8 10 3" xfId="295" xr:uid="{00000000-0005-0000-0000-000027010000}"/>
    <cellStyle name="常规 8 10 4" xfId="687" xr:uid="{00000000-0005-0000-0000-0000AF020000}"/>
    <cellStyle name="常规 8 11" xfId="305" xr:uid="{00000000-0005-0000-0000-000031010000}"/>
    <cellStyle name="常规 8 11 2" xfId="497" xr:uid="{00000000-0005-0000-0000-0000F1010000}"/>
    <cellStyle name="常规 8 12" xfId="310" xr:uid="{00000000-0005-0000-0000-000036010000}"/>
    <cellStyle name="常规 8 12 2" xfId="502" xr:uid="{00000000-0005-0000-0000-0000F6010000}"/>
    <cellStyle name="常规 8 13" xfId="314" xr:uid="{00000000-0005-0000-0000-00003A010000}"/>
    <cellStyle name="常规 8 13 2" xfId="506" xr:uid="{00000000-0005-0000-0000-0000FA010000}"/>
    <cellStyle name="常规 8 14" xfId="323" xr:uid="{00000000-0005-0000-0000-000043010000}"/>
    <cellStyle name="常规 8 14 2" xfId="515" xr:uid="{00000000-0005-0000-0000-000003020000}"/>
    <cellStyle name="常规 8 15" xfId="332" xr:uid="{00000000-0005-0000-0000-00004C010000}"/>
    <cellStyle name="常规 8 15 2" xfId="524" xr:uid="{00000000-0005-0000-0000-00000C020000}"/>
    <cellStyle name="常规 8 16" xfId="376" xr:uid="{00000000-0005-0000-0000-000078010000}"/>
    <cellStyle name="常规 8 16 2" xfId="567" xr:uid="{00000000-0005-0000-0000-000037020000}"/>
    <cellStyle name="常规 8 17" xfId="381" xr:uid="{00000000-0005-0000-0000-00007D010000}"/>
    <cellStyle name="常规 8 18" xfId="404" xr:uid="{00000000-0005-0000-0000-000094010000}"/>
    <cellStyle name="常规 8 18 2" xfId="584" xr:uid="{00000000-0005-0000-0000-000048020000}"/>
    <cellStyle name="常规 8 19" xfId="408" xr:uid="{00000000-0005-0000-0000-000098010000}"/>
    <cellStyle name="常规 8 19 2" xfId="588" xr:uid="{00000000-0005-0000-0000-00004C020000}"/>
    <cellStyle name="常规 8 2" xfId="70" xr:uid="{00000000-0005-0000-0000-000046000000}"/>
    <cellStyle name="常规 8 2 10" xfId="227" xr:uid="{00000000-0005-0000-0000-0000E3000000}"/>
    <cellStyle name="常规 8 2 11" xfId="646" xr:uid="{00000000-0005-0000-0000-000086020000}"/>
    <cellStyle name="常规 8 2 2" xfId="173" xr:uid="{00000000-0005-0000-0000-0000AD000000}"/>
    <cellStyle name="常规 8 2 2 2" xfId="453" xr:uid="{00000000-0005-0000-0000-0000C5010000}"/>
    <cellStyle name="常规 8 2 2 3" xfId="261" xr:uid="{00000000-0005-0000-0000-000005010000}"/>
    <cellStyle name="常规 8 2 2 4" xfId="692" xr:uid="{00000000-0005-0000-0000-0000B4020000}"/>
    <cellStyle name="常规 8 2 3" xfId="300" xr:uid="{00000000-0005-0000-0000-00002C010000}"/>
    <cellStyle name="常规 8 2 3 2" xfId="492" xr:uid="{00000000-0005-0000-0000-0000EC010000}"/>
    <cellStyle name="常规 8 2 4" xfId="319" xr:uid="{00000000-0005-0000-0000-00003F010000}"/>
    <cellStyle name="常规 8 2 4 2" xfId="511" xr:uid="{00000000-0005-0000-0000-0000FF010000}"/>
    <cellStyle name="常规 8 2 5" xfId="328" xr:uid="{00000000-0005-0000-0000-000048010000}"/>
    <cellStyle name="常规 8 2 5 2" xfId="520" xr:uid="{00000000-0005-0000-0000-000008020000}"/>
    <cellStyle name="常规 8 2 6" xfId="337" xr:uid="{00000000-0005-0000-0000-000051010000}"/>
    <cellStyle name="常规 8 2 6 2" xfId="529" xr:uid="{00000000-0005-0000-0000-000011020000}"/>
    <cellStyle name="常规 8 2 7" xfId="413" xr:uid="{00000000-0005-0000-0000-00009D010000}"/>
    <cellStyle name="常规 8 2 7 2" xfId="593" xr:uid="{00000000-0005-0000-0000-000051020000}"/>
    <cellStyle name="常规 8 2 8" xfId="425" xr:uid="{00000000-0005-0000-0000-0000A9010000}"/>
    <cellStyle name="常规 8 2 9" xfId="607" xr:uid="{00000000-0005-0000-0000-00005F020000}"/>
    <cellStyle name="常规 8 20" xfId="418" xr:uid="{00000000-0005-0000-0000-0000A2010000}"/>
    <cellStyle name="常规 8 20 2" xfId="598" xr:uid="{00000000-0005-0000-0000-000056020000}"/>
    <cellStyle name="常规 8 21" xfId="422" xr:uid="{00000000-0005-0000-0000-0000A6010000}"/>
    <cellStyle name="常规 8 22" xfId="603" xr:uid="{00000000-0005-0000-0000-00005B020000}"/>
    <cellStyle name="常规 8 23" xfId="222" xr:uid="{00000000-0005-0000-0000-0000DE000000}"/>
    <cellStyle name="常规 8 24" xfId="641" xr:uid="{00000000-0005-0000-0000-000081020000}"/>
    <cellStyle name="常规 8 3" xfId="78" xr:uid="{00000000-0005-0000-0000-00004E000000}"/>
    <cellStyle name="常规 8 3 2" xfId="179" xr:uid="{00000000-0005-0000-0000-0000B3000000}"/>
    <cellStyle name="常规 8 3 2 2" xfId="458" xr:uid="{00000000-0005-0000-0000-0000CA010000}"/>
    <cellStyle name="常规 8 3 2 3" xfId="266" xr:uid="{00000000-0005-0000-0000-00000A010000}"/>
    <cellStyle name="常规 8 3 2 4" xfId="697" xr:uid="{00000000-0005-0000-0000-0000B9020000}"/>
    <cellStyle name="常规 8 3 3" xfId="342" xr:uid="{00000000-0005-0000-0000-000056010000}"/>
    <cellStyle name="常规 8 3 3 2" xfId="534" xr:uid="{00000000-0005-0000-0000-000016020000}"/>
    <cellStyle name="常规 8 3 4" xfId="444" xr:uid="{00000000-0005-0000-0000-0000BC010000}"/>
    <cellStyle name="常规 8 3 5" xfId="251" xr:uid="{00000000-0005-0000-0000-0000FB000000}"/>
    <cellStyle name="常规 8 3 6" xfId="651" xr:uid="{00000000-0005-0000-0000-00008B020000}"/>
    <cellStyle name="常规 8 4" xfId="83" xr:uid="{00000000-0005-0000-0000-000053000000}"/>
    <cellStyle name="常规 8 4 2" xfId="184" xr:uid="{00000000-0005-0000-0000-0000B8000000}"/>
    <cellStyle name="常规 8 4 2 2" xfId="539" xr:uid="{00000000-0005-0000-0000-00001B020000}"/>
    <cellStyle name="常规 8 4 2 3" xfId="347" xr:uid="{00000000-0005-0000-0000-00005B010000}"/>
    <cellStyle name="常规 8 4 2 4" xfId="702" xr:uid="{00000000-0005-0000-0000-0000BE020000}"/>
    <cellStyle name="常规 8 4 3" xfId="463" xr:uid="{00000000-0005-0000-0000-0000CF010000}"/>
    <cellStyle name="常规 8 4 4" xfId="271" xr:uid="{00000000-0005-0000-0000-00000F010000}"/>
    <cellStyle name="常规 8 4 5" xfId="656" xr:uid="{00000000-0005-0000-0000-000090020000}"/>
    <cellStyle name="常规 8 5" xfId="88" xr:uid="{00000000-0005-0000-0000-000058000000}"/>
    <cellStyle name="常规 8 5 2" xfId="189" xr:uid="{00000000-0005-0000-0000-0000BD000000}"/>
    <cellStyle name="常规 8 5 2 2" xfId="544" xr:uid="{00000000-0005-0000-0000-000020020000}"/>
    <cellStyle name="常规 8 5 2 3" xfId="352" xr:uid="{00000000-0005-0000-0000-000060010000}"/>
    <cellStyle name="常规 8 5 2 4" xfId="707" xr:uid="{00000000-0005-0000-0000-0000C3020000}"/>
    <cellStyle name="常规 8 5 3" xfId="468" xr:uid="{00000000-0005-0000-0000-0000D4010000}"/>
    <cellStyle name="常规 8 5 4" xfId="276" xr:uid="{00000000-0005-0000-0000-000014010000}"/>
    <cellStyle name="常规 8 5 5" xfId="661" xr:uid="{00000000-0005-0000-0000-000095020000}"/>
    <cellStyle name="常规 8 6" xfId="93" xr:uid="{00000000-0005-0000-0000-00005D000000}"/>
    <cellStyle name="常规 8 6 2" xfId="194" xr:uid="{00000000-0005-0000-0000-0000C2000000}"/>
    <cellStyle name="常规 8 6 2 2" xfId="549" xr:uid="{00000000-0005-0000-0000-000025020000}"/>
    <cellStyle name="常规 8 6 2 3" xfId="357" xr:uid="{00000000-0005-0000-0000-000065010000}"/>
    <cellStyle name="常规 8 6 2 4" xfId="712" xr:uid="{00000000-0005-0000-0000-0000C8020000}"/>
    <cellStyle name="常规 8 6 3" xfId="473" xr:uid="{00000000-0005-0000-0000-0000D9010000}"/>
    <cellStyle name="常规 8 6 4" xfId="281" xr:uid="{00000000-0005-0000-0000-000019010000}"/>
    <cellStyle name="常规 8 6 5" xfId="666" xr:uid="{00000000-0005-0000-0000-00009A020000}"/>
    <cellStyle name="常规 8 7" xfId="98" xr:uid="{00000000-0005-0000-0000-000062000000}"/>
    <cellStyle name="常规 8 7 2" xfId="199" xr:uid="{00000000-0005-0000-0000-0000C7000000}"/>
    <cellStyle name="常规 8 7 2 2" xfId="554" xr:uid="{00000000-0005-0000-0000-00002A020000}"/>
    <cellStyle name="常规 8 7 2 3" xfId="362" xr:uid="{00000000-0005-0000-0000-00006A010000}"/>
    <cellStyle name="常规 8 7 2 4" xfId="717" xr:uid="{00000000-0005-0000-0000-0000CD020000}"/>
    <cellStyle name="常规 8 7 3" xfId="478" xr:uid="{00000000-0005-0000-0000-0000DE010000}"/>
    <cellStyle name="常规 8 7 4" xfId="286" xr:uid="{00000000-0005-0000-0000-00001E010000}"/>
    <cellStyle name="常规 8 7 5" xfId="671" xr:uid="{00000000-0005-0000-0000-00009F020000}"/>
    <cellStyle name="常规 8 8" xfId="103" xr:uid="{00000000-0005-0000-0000-000067000000}"/>
    <cellStyle name="常规 8 8 2" xfId="204" xr:uid="{00000000-0005-0000-0000-0000CC000000}"/>
    <cellStyle name="常规 8 8 2 2" xfId="559" xr:uid="{00000000-0005-0000-0000-00002F020000}"/>
    <cellStyle name="常规 8 8 2 3" xfId="367" xr:uid="{00000000-0005-0000-0000-00006F010000}"/>
    <cellStyle name="常规 8 8 2 4" xfId="722" xr:uid="{00000000-0005-0000-0000-0000D2020000}"/>
    <cellStyle name="常规 8 8 3" xfId="483" xr:uid="{00000000-0005-0000-0000-0000E3010000}"/>
    <cellStyle name="常规 8 8 4" xfId="291" xr:uid="{00000000-0005-0000-0000-000023010000}"/>
    <cellStyle name="常规 8 8 5" xfId="676" xr:uid="{00000000-0005-0000-0000-0000A4020000}"/>
    <cellStyle name="常规 8 9" xfId="117" xr:uid="{00000000-0005-0000-0000-000075000000}"/>
    <cellStyle name="常规 8 9 2" xfId="211" xr:uid="{00000000-0005-0000-0000-0000D3000000}"/>
    <cellStyle name="常规 8 9 2 2" xfId="448" xr:uid="{00000000-0005-0000-0000-0000C0010000}"/>
    <cellStyle name="常规 8 9 2 3" xfId="728" xr:uid="{00000000-0005-0000-0000-0000D8020000}"/>
    <cellStyle name="常规 8 9 3" xfId="256" xr:uid="{00000000-0005-0000-0000-000000010000}"/>
    <cellStyle name="常规 8 9 4" xfId="682" xr:uid="{00000000-0005-0000-0000-0000AA020000}"/>
    <cellStyle name="常规 9" xfId="43" xr:uid="{00000000-0005-0000-0000-00002B000000}"/>
    <cellStyle name="常规 9 10" xfId="151" xr:uid="{00000000-0005-0000-0000-000097000000}"/>
    <cellStyle name="常规 9 10 2" xfId="488" xr:uid="{00000000-0005-0000-0000-0000E8010000}"/>
    <cellStyle name="常规 9 10 3" xfId="296" xr:uid="{00000000-0005-0000-0000-000028010000}"/>
    <cellStyle name="常规 9 10 4" xfId="688" xr:uid="{00000000-0005-0000-0000-0000B0020000}"/>
    <cellStyle name="常规 9 11" xfId="306" xr:uid="{00000000-0005-0000-0000-000032010000}"/>
    <cellStyle name="常规 9 11 2" xfId="498" xr:uid="{00000000-0005-0000-0000-0000F2010000}"/>
    <cellStyle name="常规 9 12" xfId="311" xr:uid="{00000000-0005-0000-0000-000037010000}"/>
    <cellStyle name="常规 9 12 2" xfId="503" xr:uid="{00000000-0005-0000-0000-0000F7010000}"/>
    <cellStyle name="常规 9 13" xfId="315" xr:uid="{00000000-0005-0000-0000-00003B010000}"/>
    <cellStyle name="常规 9 13 2" xfId="507" xr:uid="{00000000-0005-0000-0000-0000FB010000}"/>
    <cellStyle name="常规 9 14" xfId="324" xr:uid="{00000000-0005-0000-0000-000044010000}"/>
    <cellStyle name="常规 9 14 2" xfId="516" xr:uid="{00000000-0005-0000-0000-000004020000}"/>
    <cellStyle name="常规 9 15" xfId="333" xr:uid="{00000000-0005-0000-0000-00004D010000}"/>
    <cellStyle name="常规 9 15 2" xfId="525" xr:uid="{00000000-0005-0000-0000-00000D020000}"/>
    <cellStyle name="常规 9 16" xfId="377" xr:uid="{00000000-0005-0000-0000-000079010000}"/>
    <cellStyle name="常规 9 16 2" xfId="568" xr:uid="{00000000-0005-0000-0000-000038020000}"/>
    <cellStyle name="常规 9 17" xfId="382" xr:uid="{00000000-0005-0000-0000-00007E010000}"/>
    <cellStyle name="常规 9 17 2" xfId="570" xr:uid="{00000000-0005-0000-0000-00003A020000}"/>
    <cellStyle name="常规 9 18" xfId="405" xr:uid="{00000000-0005-0000-0000-000095010000}"/>
    <cellStyle name="常规 9 18 2" xfId="585" xr:uid="{00000000-0005-0000-0000-000049020000}"/>
    <cellStyle name="常规 9 19" xfId="409" xr:uid="{00000000-0005-0000-0000-000099010000}"/>
    <cellStyle name="常规 9 19 2" xfId="589" xr:uid="{00000000-0005-0000-0000-00004D020000}"/>
    <cellStyle name="常规 9 2" xfId="73" xr:uid="{00000000-0005-0000-0000-000049000000}"/>
    <cellStyle name="常规 9 2 10" xfId="604" xr:uid="{00000000-0005-0000-0000-00005C020000}"/>
    <cellStyle name="常规 9 2 11" xfId="630" xr:uid="{00000000-0005-0000-0000-000076020000}"/>
    <cellStyle name="常规 9 2 12" xfId="223" xr:uid="{00000000-0005-0000-0000-0000DF000000}"/>
    <cellStyle name="常规 9 2 13" xfId="647" xr:uid="{00000000-0005-0000-0000-000087020000}"/>
    <cellStyle name="常规 9 2 2" xfId="174" xr:uid="{00000000-0005-0000-0000-0000AE000000}"/>
    <cellStyle name="常规 9 2 2 2" xfId="454" xr:uid="{00000000-0005-0000-0000-0000C6010000}"/>
    <cellStyle name="常规 9 2 2 3" xfId="262" xr:uid="{00000000-0005-0000-0000-000006010000}"/>
    <cellStyle name="常规 9 2 2 4" xfId="693" xr:uid="{00000000-0005-0000-0000-0000B5020000}"/>
    <cellStyle name="常规 9 2 3" xfId="301" xr:uid="{00000000-0005-0000-0000-00002D010000}"/>
    <cellStyle name="常规 9 2 3 2" xfId="493" xr:uid="{00000000-0005-0000-0000-0000ED010000}"/>
    <cellStyle name="常规 9 2 4" xfId="320" xr:uid="{00000000-0005-0000-0000-000040010000}"/>
    <cellStyle name="常规 9 2 4 2" xfId="512" xr:uid="{00000000-0005-0000-0000-000000020000}"/>
    <cellStyle name="常规 9 2 5" xfId="329" xr:uid="{00000000-0005-0000-0000-000049010000}"/>
    <cellStyle name="常规 9 2 5 2" xfId="521" xr:uid="{00000000-0005-0000-0000-000009020000}"/>
    <cellStyle name="常规 9 2 6" xfId="338" xr:uid="{00000000-0005-0000-0000-000052010000}"/>
    <cellStyle name="常规 9 2 6 2" xfId="530" xr:uid="{00000000-0005-0000-0000-000012020000}"/>
    <cellStyle name="常规 9 2 7" xfId="387" xr:uid="{00000000-0005-0000-0000-000083010000}"/>
    <cellStyle name="常规 9 2 7 2" xfId="573" xr:uid="{00000000-0005-0000-0000-00003D020000}"/>
    <cellStyle name="常规 9 2 8" xfId="414" xr:uid="{00000000-0005-0000-0000-00009E010000}"/>
    <cellStyle name="常规 9 2 8 2" xfId="594" xr:uid="{00000000-0005-0000-0000-000052020000}"/>
    <cellStyle name="常规 9 2 9" xfId="423" xr:uid="{00000000-0005-0000-0000-0000A7010000}"/>
    <cellStyle name="常规 9 20" xfId="419" xr:uid="{00000000-0005-0000-0000-0000A3010000}"/>
    <cellStyle name="常规 9 20 2" xfId="599" xr:uid="{00000000-0005-0000-0000-000057020000}"/>
    <cellStyle name="常规 9 21" xfId="426" xr:uid="{00000000-0005-0000-0000-0000AA010000}"/>
    <cellStyle name="常规 9 22" xfId="608" xr:uid="{00000000-0005-0000-0000-000060020000}"/>
    <cellStyle name="常规 9 23" xfId="627" xr:uid="{00000000-0005-0000-0000-000073020000}"/>
    <cellStyle name="常规 9 24" xfId="228" xr:uid="{00000000-0005-0000-0000-0000E4000000}"/>
    <cellStyle name="常规 9 25" xfId="642" xr:uid="{00000000-0005-0000-0000-000082020000}"/>
    <cellStyle name="常规 9 3" xfId="79" xr:uid="{00000000-0005-0000-0000-00004F000000}"/>
    <cellStyle name="常规 9 3 2" xfId="180" xr:uid="{00000000-0005-0000-0000-0000B4000000}"/>
    <cellStyle name="常规 9 3 2 2" xfId="459" xr:uid="{00000000-0005-0000-0000-0000CB010000}"/>
    <cellStyle name="常规 9 3 2 3" xfId="267" xr:uid="{00000000-0005-0000-0000-00000B010000}"/>
    <cellStyle name="常规 9 3 2 4" xfId="698" xr:uid="{00000000-0005-0000-0000-0000BA020000}"/>
    <cellStyle name="常规 9 3 3" xfId="343" xr:uid="{00000000-0005-0000-0000-000057010000}"/>
    <cellStyle name="常规 9 3 3 2" xfId="535" xr:uid="{00000000-0005-0000-0000-000017020000}"/>
    <cellStyle name="常规 9 3 4" xfId="445" xr:uid="{00000000-0005-0000-0000-0000BD010000}"/>
    <cellStyle name="常规 9 3 5" xfId="253" xr:uid="{00000000-0005-0000-0000-0000FD000000}"/>
    <cellStyle name="常规 9 3 6" xfId="652" xr:uid="{00000000-0005-0000-0000-00008C020000}"/>
    <cellStyle name="常规 9 4" xfId="84" xr:uid="{00000000-0005-0000-0000-000054000000}"/>
    <cellStyle name="常规 9 4 2" xfId="185" xr:uid="{00000000-0005-0000-0000-0000B9000000}"/>
    <cellStyle name="常规 9 4 2 2" xfId="540" xr:uid="{00000000-0005-0000-0000-00001C020000}"/>
    <cellStyle name="常规 9 4 2 3" xfId="348" xr:uid="{00000000-0005-0000-0000-00005C010000}"/>
    <cellStyle name="常规 9 4 2 4" xfId="703" xr:uid="{00000000-0005-0000-0000-0000BF020000}"/>
    <cellStyle name="常规 9 4 3" xfId="464" xr:uid="{00000000-0005-0000-0000-0000D0010000}"/>
    <cellStyle name="常规 9 4 4" xfId="272" xr:uid="{00000000-0005-0000-0000-000010010000}"/>
    <cellStyle name="常规 9 4 5" xfId="657" xr:uid="{00000000-0005-0000-0000-000091020000}"/>
    <cellStyle name="常规 9 5" xfId="89" xr:uid="{00000000-0005-0000-0000-000059000000}"/>
    <cellStyle name="常规 9 5 2" xfId="190" xr:uid="{00000000-0005-0000-0000-0000BE000000}"/>
    <cellStyle name="常规 9 5 2 2" xfId="545" xr:uid="{00000000-0005-0000-0000-000021020000}"/>
    <cellStyle name="常规 9 5 2 3" xfId="353" xr:uid="{00000000-0005-0000-0000-000061010000}"/>
    <cellStyle name="常规 9 5 2 4" xfId="708" xr:uid="{00000000-0005-0000-0000-0000C4020000}"/>
    <cellStyle name="常规 9 5 3" xfId="469" xr:uid="{00000000-0005-0000-0000-0000D5010000}"/>
    <cellStyle name="常规 9 5 4" xfId="277" xr:uid="{00000000-0005-0000-0000-000015010000}"/>
    <cellStyle name="常规 9 5 5" xfId="662" xr:uid="{00000000-0005-0000-0000-000096020000}"/>
    <cellStyle name="常规 9 6" xfId="94" xr:uid="{00000000-0005-0000-0000-00005E000000}"/>
    <cellStyle name="常规 9 6 2" xfId="195" xr:uid="{00000000-0005-0000-0000-0000C3000000}"/>
    <cellStyle name="常规 9 6 2 2" xfId="550" xr:uid="{00000000-0005-0000-0000-000026020000}"/>
    <cellStyle name="常规 9 6 2 3" xfId="358" xr:uid="{00000000-0005-0000-0000-000066010000}"/>
    <cellStyle name="常规 9 6 2 4" xfId="713" xr:uid="{00000000-0005-0000-0000-0000C9020000}"/>
    <cellStyle name="常规 9 6 3" xfId="474" xr:uid="{00000000-0005-0000-0000-0000DA010000}"/>
    <cellStyle name="常规 9 6 4" xfId="282" xr:uid="{00000000-0005-0000-0000-00001A010000}"/>
    <cellStyle name="常规 9 6 5" xfId="667" xr:uid="{00000000-0005-0000-0000-00009B020000}"/>
    <cellStyle name="常规 9 7" xfId="99" xr:uid="{00000000-0005-0000-0000-000063000000}"/>
    <cellStyle name="常规 9 7 2" xfId="200" xr:uid="{00000000-0005-0000-0000-0000C8000000}"/>
    <cellStyle name="常规 9 7 2 2" xfId="555" xr:uid="{00000000-0005-0000-0000-00002B020000}"/>
    <cellStyle name="常规 9 7 2 3" xfId="363" xr:uid="{00000000-0005-0000-0000-00006B010000}"/>
    <cellStyle name="常规 9 7 2 4" xfId="718" xr:uid="{00000000-0005-0000-0000-0000CE020000}"/>
    <cellStyle name="常规 9 7 3" xfId="479" xr:uid="{00000000-0005-0000-0000-0000DF010000}"/>
    <cellStyle name="常规 9 7 4" xfId="287" xr:uid="{00000000-0005-0000-0000-00001F010000}"/>
    <cellStyle name="常规 9 7 5" xfId="672" xr:uid="{00000000-0005-0000-0000-0000A0020000}"/>
    <cellStyle name="常规 9 8" xfId="104" xr:uid="{00000000-0005-0000-0000-000068000000}"/>
    <cellStyle name="常规 9 8 2" xfId="205" xr:uid="{00000000-0005-0000-0000-0000CD000000}"/>
    <cellStyle name="常规 9 8 2 2" xfId="560" xr:uid="{00000000-0005-0000-0000-000030020000}"/>
    <cellStyle name="常规 9 8 2 3" xfId="368" xr:uid="{00000000-0005-0000-0000-000070010000}"/>
    <cellStyle name="常规 9 8 2 4" xfId="723" xr:uid="{00000000-0005-0000-0000-0000D3020000}"/>
    <cellStyle name="常规 9 8 3" xfId="484" xr:uid="{00000000-0005-0000-0000-0000E4010000}"/>
    <cellStyle name="常规 9 8 4" xfId="292" xr:uid="{00000000-0005-0000-0000-000024010000}"/>
    <cellStyle name="常规 9 8 5" xfId="677" xr:uid="{00000000-0005-0000-0000-0000A5020000}"/>
    <cellStyle name="常规 9 9" xfId="118" xr:uid="{00000000-0005-0000-0000-000076000000}"/>
    <cellStyle name="常规 9 9 2" xfId="212" xr:uid="{00000000-0005-0000-0000-0000D4000000}"/>
    <cellStyle name="常规 9 9 2 2" xfId="449" xr:uid="{00000000-0005-0000-0000-0000C1010000}"/>
    <cellStyle name="常规 9 9 2 3" xfId="729" xr:uid="{00000000-0005-0000-0000-0000D9020000}"/>
    <cellStyle name="常规 9 9 3" xfId="257" xr:uid="{00000000-0005-0000-0000-000001010000}"/>
    <cellStyle name="常规 9 9 4" xfId="683" xr:uid="{00000000-0005-0000-0000-0000AB020000}"/>
    <cellStyle name="超链接" xfId="639" builtinId="8"/>
    <cellStyle name="超链接 2" xfId="28" xr:uid="{00000000-0005-0000-0000-00001C000000}"/>
    <cellStyle name="超链接 2 2" xfId="145" xr:uid="{00000000-0005-0000-0000-000091000000}"/>
    <cellStyle name="超链接 2 2 2" xfId="393" xr:uid="{00000000-0005-0000-0000-000089010000}"/>
    <cellStyle name="超链接 2 2 3" xfId="379" xr:uid="{00000000-0005-0000-0000-00007B010000}"/>
    <cellStyle name="超链接 2 3" xfId="375" xr:uid="{00000000-0005-0000-0000-000077010000}"/>
    <cellStyle name="超链接 2 4" xfId="732" xr:uid="{00000000-0005-0000-0000-000009000000}"/>
    <cellStyle name="超链接 3" xfId="37" xr:uid="{00000000-0005-0000-0000-000025000000}"/>
    <cellStyle name="超链接 3 2" xfId="150" xr:uid="{00000000-0005-0000-0000-000096000000}"/>
    <cellStyle name="超链接 4" xfId="69" xr:uid="{00000000-0005-0000-0000-000045000000}"/>
    <cellStyle name="超链接 4 2" xfId="172" xr:uid="{00000000-0005-0000-0000-0000AC000000}"/>
    <cellStyle name="超链接 5" xfId="34" xr:uid="{00000000-0005-0000-0000-000022000000}"/>
    <cellStyle name="超链接 5 2" xfId="148" xr:uid="{00000000-0005-0000-0000-000094000000}"/>
    <cellStyle name="超链接 6" xfId="111" xr:uid="{00000000-0005-0000-0000-00006F000000}"/>
    <cellStyle name="超链接 6 2" xfId="208" xr:uid="{00000000-0005-0000-0000-0000D0000000}"/>
    <cellStyle name="超链接 7" xfId="733" xr:uid="{00000000-0005-0000-0000-00000C030000}"/>
    <cellStyle name="好 2" xfId="57" xr:uid="{00000000-0005-0000-0000-000039000000}"/>
    <cellStyle name="好 2 2" xfId="160" xr:uid="{00000000-0005-0000-0000-0000A0000000}"/>
    <cellStyle name="好 3" xfId="16" xr:uid="{00000000-0005-0000-0000-000010000000}"/>
    <cellStyle name="好 3 2" xfId="134" xr:uid="{00000000-0005-0000-0000-000086000000}"/>
    <cellStyle name="汇总 2" xfId="58" xr:uid="{00000000-0005-0000-0000-00003A000000}"/>
    <cellStyle name="汇总 2 2" xfId="161" xr:uid="{00000000-0005-0000-0000-0000A1000000}"/>
    <cellStyle name="汇总 3" xfId="17" xr:uid="{00000000-0005-0000-0000-000011000000}"/>
    <cellStyle name="汇总 3 2" xfId="135" xr:uid="{00000000-0005-0000-0000-000087000000}"/>
    <cellStyle name="计算 2" xfId="59" xr:uid="{00000000-0005-0000-0000-00003B000000}"/>
    <cellStyle name="计算 2 2" xfId="162" xr:uid="{00000000-0005-0000-0000-0000A2000000}"/>
    <cellStyle name="计算 3" xfId="18" xr:uid="{00000000-0005-0000-0000-000012000000}"/>
    <cellStyle name="计算 3 2" xfId="136" xr:uid="{00000000-0005-0000-0000-000088000000}"/>
    <cellStyle name="检查单元格 2" xfId="60" xr:uid="{00000000-0005-0000-0000-00003C000000}"/>
    <cellStyle name="检查单元格 2 2" xfId="163" xr:uid="{00000000-0005-0000-0000-0000A3000000}"/>
    <cellStyle name="检查单元格 3" xfId="19" xr:uid="{00000000-0005-0000-0000-000013000000}"/>
    <cellStyle name="检查单元格 3 2" xfId="137" xr:uid="{00000000-0005-0000-0000-000089000000}"/>
    <cellStyle name="解释性文本 2" xfId="61" xr:uid="{00000000-0005-0000-0000-00003D000000}"/>
    <cellStyle name="解释性文本 2 2" xfId="164" xr:uid="{00000000-0005-0000-0000-0000A4000000}"/>
    <cellStyle name="解释性文本 3" xfId="20" xr:uid="{00000000-0005-0000-0000-000014000000}"/>
    <cellStyle name="解释性文本 3 2" xfId="138" xr:uid="{00000000-0005-0000-0000-00008A000000}"/>
    <cellStyle name="警告文本 2" xfId="62" xr:uid="{00000000-0005-0000-0000-00003E000000}"/>
    <cellStyle name="警告文本 2 2" xfId="165" xr:uid="{00000000-0005-0000-0000-0000A5000000}"/>
    <cellStyle name="警告文本 3" xfId="21" xr:uid="{00000000-0005-0000-0000-000015000000}"/>
    <cellStyle name="警告文本 3 2" xfId="139" xr:uid="{00000000-0005-0000-0000-00008B000000}"/>
    <cellStyle name="链接单元格 2" xfId="63" xr:uid="{00000000-0005-0000-0000-00003F000000}"/>
    <cellStyle name="链接单元格 2 2" xfId="166" xr:uid="{00000000-0005-0000-0000-0000A6000000}"/>
    <cellStyle name="链接单元格 3" xfId="22" xr:uid="{00000000-0005-0000-0000-000016000000}"/>
    <cellStyle name="链接单元格 3 2" xfId="140" xr:uid="{00000000-0005-0000-0000-00008C000000}"/>
    <cellStyle name="适中 2" xfId="64" xr:uid="{00000000-0005-0000-0000-000040000000}"/>
    <cellStyle name="适中 2 2" xfId="167" xr:uid="{00000000-0005-0000-0000-0000A7000000}"/>
    <cellStyle name="适中 3" xfId="23" xr:uid="{00000000-0005-0000-0000-000017000000}"/>
    <cellStyle name="适中 3 2" xfId="141" xr:uid="{00000000-0005-0000-0000-00008D000000}"/>
    <cellStyle name="输出 2" xfId="65" xr:uid="{00000000-0005-0000-0000-000041000000}"/>
    <cellStyle name="输出 2 2" xfId="168" xr:uid="{00000000-0005-0000-0000-0000A8000000}"/>
    <cellStyle name="输出 3" xfId="24" xr:uid="{00000000-0005-0000-0000-000018000000}"/>
    <cellStyle name="输出 3 2" xfId="142" xr:uid="{00000000-0005-0000-0000-00008E000000}"/>
    <cellStyle name="输入 2" xfId="66" xr:uid="{00000000-0005-0000-0000-000042000000}"/>
    <cellStyle name="输入 2 2" xfId="169" xr:uid="{00000000-0005-0000-0000-0000A9000000}"/>
    <cellStyle name="输入 3" xfId="25" xr:uid="{00000000-0005-0000-0000-000019000000}"/>
    <cellStyle name="输入 3 2" xfId="143" xr:uid="{00000000-0005-0000-0000-00008F000000}"/>
    <cellStyle name="样式 1" xfId="26" xr:uid="{00000000-0005-0000-0000-00001A000000}"/>
    <cellStyle name="注释 2" xfId="67" xr:uid="{00000000-0005-0000-0000-000043000000}"/>
    <cellStyle name="注释 2 2" xfId="170" xr:uid="{00000000-0005-0000-0000-0000AA000000}"/>
    <cellStyle name="注释 3" xfId="32" xr:uid="{00000000-0005-0000-0000-000020000000}"/>
    <cellStyle name="注释 3 2" xfId="147" xr:uid="{00000000-0005-0000-0000-000093000000}"/>
    <cellStyle name="注释 4" xfId="27" xr:uid="{00000000-0005-0000-0000-00001B000000}"/>
    <cellStyle name="注释 4 2" xfId="144" xr:uid="{00000000-0005-0000-0000-00009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sharepoint.sha.hengrui.com/sites/TaskForce/DocLib/01_SOP/SOP-CRD-04-001F1%20List%20of%20Tables%20with%20QC%20Status_v0.3_track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DFs"/>
      <sheetName val="TFLs"/>
      <sheetName val="Reference"/>
    </sheetNames>
    <sheetDataSet>
      <sheetData sheetId="0"/>
      <sheetData sheetId="1" refreshError="1"/>
      <sheetData sheetId="2"/>
      <sheetData sheetId="3">
        <row r="2">
          <cell r="D2" t="str">
            <v>appendTo</v>
          </cell>
        </row>
        <row r="3">
          <cell r="D3" t="str">
            <v>drop</v>
          </cell>
        </row>
        <row r="4">
          <cell r="D4" t="str">
            <v>mapTo</v>
          </cell>
        </row>
        <row r="5">
          <cell r="D5" t="str">
            <v>rename</v>
          </cell>
        </row>
      </sheetData>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mailto:RPTHORIZ%5EN@SUBSET_ADD%5Erelgr3=%22&#33647;&#29289;&#30456;&#20851;%22" TargetMode="External"/><Relationship Id="rId18" Type="http://schemas.openxmlformats.org/officeDocument/2006/relationships/hyperlink" Target="mailto:RPTHORIZ%5EY@ADD_REL%5Erelgr3=%22&#33647;&#29289;&#30456;&#20851;%22%20and%20relgr5%20=%20%22&#33647;&#29289;&#19981;&#30456;&#20851;%22" TargetMode="External"/><Relationship Id="rId26" Type="http://schemas.openxmlformats.org/officeDocument/2006/relationships/hyperlink" Target="mailto:RPTHORIZ%5EN@SUBSET_ADD%5Erelgr1=%22&#33647;&#29289;&#30456;&#20851;%22" TargetMode="External"/><Relationship Id="rId39" Type="http://schemas.openxmlformats.org/officeDocument/2006/relationships/hyperlink" Target="mailto:RPTHORIZ%5EN@ARM_TOTAL_FL%5EY@XOVERFL%5EY@XOVER_ARM_VAR%5Etrtag1@XOVER_ARMN_VAR%5Etrtag1n" TargetMode="External"/><Relationship Id="rId21" Type="http://schemas.openxmlformats.org/officeDocument/2006/relationships/hyperlink" Target="mailto:RPTHORIZ%5EN@SUBSET_ADD%5Erelgr1=%22&#33647;&#29289;&#30456;&#20851;%22" TargetMode="External"/><Relationship Id="rId34" Type="http://schemas.openxmlformats.org/officeDocument/2006/relationships/hyperlink" Target="mailto:RPTHORIZ%5EN@SUBSET_ADD%5Erelgr5=%22&#33647;&#29289;&#30456;&#20851;%22" TargetMode="External"/><Relationship Id="rId42" Type="http://schemas.openxmlformats.org/officeDocument/2006/relationships/hyperlink" Target="mailto:sourceta_table%5E14.3.4.5.2.3@sourceta_listing%5E16.2.8.6.1@ref_txt%5Et_adqs_mmrm_c30.txt" TargetMode="External"/><Relationship Id="rId47" Type="http://schemas.openxmlformats.org/officeDocument/2006/relationships/printerSettings" Target="../printerSettings/printerSettings3.bin"/><Relationship Id="rId7" Type="http://schemas.openxmlformats.org/officeDocument/2006/relationships/hyperlink" Target="mailto:RPTHORIZ%5EN@SUBSET_ADD%5Erelgr2=%22&#33647;&#29289;&#30456;&#20851;%22" TargetMode="External"/><Relationship Id="rId2" Type="http://schemas.openxmlformats.org/officeDocument/2006/relationships/hyperlink" Target="mailto:RPTHORIZ%5EN@SUBSET_ADD%5Erelgr1=%22&#33647;&#29289;&#30456;&#20851;%22" TargetMode="External"/><Relationship Id="rId16" Type="http://schemas.openxmlformats.org/officeDocument/2006/relationships/hyperlink" Target="mailto:RPTHORIZ%5EN@SUBSET_ADD%5Erelgr1=%22&#33647;&#29289;&#30456;&#20851;%22" TargetMode="External"/><Relationship Id="rId29" Type="http://schemas.openxmlformats.org/officeDocument/2006/relationships/hyperlink" Target="mailto:RPTHORIZ%5EN@SUBSET_ADD%5Erelgr1=%22&#33647;&#29289;&#30456;&#20851;%22" TargetMode="External"/><Relationship Id="rId1" Type="http://schemas.openxmlformats.org/officeDocument/2006/relationships/hyperlink" Target="mailto:RPTHORIZ%5EY@ADD_REL%5Erelgr5=%22&#33647;&#29289;&#30456;&#20851;%22%20and%20relgr3%20=%20%22&#33647;&#29289;&#19981;&#30456;&#20851;%22" TargetMode="External"/><Relationship Id="rId6" Type="http://schemas.openxmlformats.org/officeDocument/2006/relationships/hyperlink" Target="mailto:RPTHORIZ%5EN@SUBSET_ADD%5Erelgr1=%22&#33647;&#29289;&#30456;&#20851;%22" TargetMode="External"/><Relationship Id="rId11" Type="http://schemas.openxmlformats.org/officeDocument/2006/relationships/hyperlink" Target="mailto:RPTHORIZ%5EN@SUBSET_ADD%5Erelgr1=%22&#33647;&#29289;&#30456;&#20851;%22" TargetMode="External"/><Relationship Id="rId24" Type="http://schemas.openxmlformats.org/officeDocument/2006/relationships/hyperlink" Target="mailto:RPTHORIZ%5EN@SUBSET_ADD%5Erelgr1=%22&#33647;&#29289;&#30456;&#20851;%22" TargetMode="External"/><Relationship Id="rId32" Type="http://schemas.openxmlformats.org/officeDocument/2006/relationships/hyperlink" Target="mailto:RPTHORIZ%5EN@SUBSET_ADD%5Erelgr1=%22&#33647;&#29289;&#30456;&#20851;%22" TargetMode="External"/><Relationship Id="rId37" Type="http://schemas.openxmlformats.org/officeDocument/2006/relationships/hyperlink" Target="mailto:RPTHORIZ%5EN@ARM_TOTAL_FL%5EY@XOVERFL%5EY@XOVER_ARM_VAR%5Etrtag1@XOVER_ARMN_VAR%5Etrtag1n" TargetMode="External"/><Relationship Id="rId40" Type="http://schemas.openxmlformats.org/officeDocument/2006/relationships/hyperlink" Target="mailto:RPTHORIZ%5EN@ARM_TOTAL_FL%5EY@XOVERFL%5EY@XOVER_ARM_VAR%5Etrtag1@XOVER_ARMN_VAR%5Etrtag1n" TargetMode="External"/><Relationship Id="rId45" Type="http://schemas.openxmlformats.org/officeDocument/2006/relationships/hyperlink" Target="mailto:RPTHORIZ%5EY@ADD_REL%5Erelgr4=%22&#33647;&#29289;&#30456;&#20851;%22" TargetMode="External"/><Relationship Id="rId5" Type="http://schemas.openxmlformats.org/officeDocument/2006/relationships/hyperlink" Target="mailto:RPTHORIZ%5EY@ADD_REL%5Erelgr5=%22&#33647;&#29289;&#30456;&#20851;%22%20and%20relgr3%20=%20%22&#33647;&#29289;&#19981;&#30456;&#20851;%22" TargetMode="External"/><Relationship Id="rId15" Type="http://schemas.openxmlformats.org/officeDocument/2006/relationships/hyperlink" Target="mailto:RPTHORIZ%5EY@ADD_REL%5Erelgr5=%22&#33647;&#29289;&#30456;&#20851;%22%20and%20relgr3%20=%20%22&#33647;&#29289;&#19981;&#30456;&#20851;%22" TargetMode="External"/><Relationship Id="rId23" Type="http://schemas.openxmlformats.org/officeDocument/2006/relationships/hyperlink" Target="mailto:RPTHORIZ%5EN@SUBSET_ADD%5Erelgr1=%22&#33647;&#29289;&#30456;&#20851;%22" TargetMode="External"/><Relationship Id="rId28" Type="http://schemas.openxmlformats.org/officeDocument/2006/relationships/hyperlink" Target="mailto:RPTHORIZ%5EN@SUBSET_ADD%5Erelgr1=%22&#33647;&#29289;&#30456;&#20851;%22" TargetMode="External"/><Relationship Id="rId36" Type="http://schemas.openxmlformats.org/officeDocument/2006/relationships/hyperlink" Target="mailto:RPTHORIZ%5EN@ARM_TOTAL_FL%5EY@XOVERFL%5EY@XOVER_ARM_VAR%5Etrtag1@XOVER_ARMN_VAR%5Etrtag1n" TargetMode="External"/><Relationship Id="rId10" Type="http://schemas.openxmlformats.org/officeDocument/2006/relationships/hyperlink" Target="mailto:RPTHORIZ%5EN@SUBSET_ADD%5Erelgr5=%22&#33647;&#29289;&#30456;&#20851;%22" TargetMode="External"/><Relationship Id="rId19" Type="http://schemas.openxmlformats.org/officeDocument/2006/relationships/hyperlink" Target="mailto:RPTHORIZ%5EN@SUBSET_ADD%5Erelgr1=%22&#33647;&#29289;&#30456;&#20851;%22" TargetMode="External"/><Relationship Id="rId31" Type="http://schemas.openxmlformats.org/officeDocument/2006/relationships/hyperlink" Target="mailto:RPTHORIZ%5EN@SUBSET_ADD%5Erelgr1=%22&#33647;&#29289;&#30456;&#20851;%22" TargetMode="External"/><Relationship Id="rId44" Type="http://schemas.openxmlformats.org/officeDocument/2006/relationships/hyperlink" Target="mailto:sourceta_table%5E14.4.3.1.2@sourceta_listing%5E16.2.5.2.1" TargetMode="External"/><Relationship Id="rId4" Type="http://schemas.openxmlformats.org/officeDocument/2006/relationships/hyperlink" Target="mailto:RPTHORIZ%5EN@SUBSET_ADD%5Erelgr3=%22&#33647;&#29289;&#30456;&#20851;%22" TargetMode="External"/><Relationship Id="rId9" Type="http://schemas.openxmlformats.org/officeDocument/2006/relationships/hyperlink" Target="mailto:RPTHORIZ%5EY@GRADE_VALS%5E3%7C4%7C5%7C%3E=3%7C3/4" TargetMode="External"/><Relationship Id="rId14" Type="http://schemas.openxmlformats.org/officeDocument/2006/relationships/hyperlink" Target="mailto:G_ARM1%5EADA&#38451;&#24615;@G_ARM2%5EADA&#38452;&#24615;" TargetMode="External"/><Relationship Id="rId22" Type="http://schemas.openxmlformats.org/officeDocument/2006/relationships/hyperlink" Target="mailto:RPTHORIZ%5EN@SUBSET_ADD%5Erelgr1=%22&#33647;&#29289;&#30456;&#20851;%22" TargetMode="External"/><Relationship Id="rId27" Type="http://schemas.openxmlformats.org/officeDocument/2006/relationships/hyperlink" Target="mailto:RPTHORIZ%5EN@SUBSET_ADD%5Erelgr1=%22&#33647;&#29289;&#30456;&#20851;%22" TargetMode="External"/><Relationship Id="rId30" Type="http://schemas.openxmlformats.org/officeDocument/2006/relationships/hyperlink" Target="mailto:RPTHORIZ%5EN@SUBSET_ADD%5Erelgr1=%22&#33647;&#29289;&#30456;&#20851;%22" TargetMode="External"/><Relationship Id="rId35" Type="http://schemas.openxmlformats.org/officeDocument/2006/relationships/hyperlink" Target="mailto:RPTHORIZ%5EN@SUBSET_ADD%5Erelgr5=%22&#33647;&#29289;&#30456;&#20851;%22" TargetMode="External"/><Relationship Id="rId43" Type="http://schemas.openxmlformats.org/officeDocument/2006/relationships/hyperlink" Target="mailto:sourceta_table%5E14.3.4.5.3.3@sourceta_listing%5E16.2.8.6.2@ref_txt%5Et_adqs_mmrm_hcc18.txt" TargetMode="External"/><Relationship Id="rId8" Type="http://schemas.openxmlformats.org/officeDocument/2006/relationships/hyperlink" Target="mailto:RPTHORIZ%5EN@SUBSET_ADD%5Erelgr3=%22&#33647;&#29289;&#30456;&#20851;%22" TargetMode="External"/><Relationship Id="rId3" Type="http://schemas.openxmlformats.org/officeDocument/2006/relationships/hyperlink" Target="mailto:RPTHORIZ%5EN@SUBSET_ADD%5Erelgr2=%22&#33647;&#29289;&#30456;&#20851;%22" TargetMode="External"/><Relationship Id="rId12" Type="http://schemas.openxmlformats.org/officeDocument/2006/relationships/hyperlink" Target="mailto:RPTHORIZ%5EN@SUBSET_ADD%5Erelgr2=%22&#33647;&#29289;&#30456;&#20851;%22" TargetMode="External"/><Relationship Id="rId17" Type="http://schemas.openxmlformats.org/officeDocument/2006/relationships/hyperlink" Target="mailto:RPTHORIZ%5EN@SUBSET_ADD%5Erelgr2=%22&#33647;&#29289;&#30456;&#20851;%22" TargetMode="External"/><Relationship Id="rId25" Type="http://schemas.openxmlformats.org/officeDocument/2006/relationships/hyperlink" Target="mailto:RPTHORIZ%5EN@SUBSET_ADD%5Erelgr1=%22&#33647;&#29289;&#30456;&#20851;%22" TargetMode="External"/><Relationship Id="rId33" Type="http://schemas.openxmlformats.org/officeDocument/2006/relationships/hyperlink" Target="mailto:RPTHORIZ%5EN@SUBSET_ADD%5Erelgr1=%22&#33647;&#29289;&#30456;&#20851;%22" TargetMode="External"/><Relationship Id="rId38" Type="http://schemas.openxmlformats.org/officeDocument/2006/relationships/hyperlink" Target="mailto:RPTHORIZ%5EN@ARM_TOTAL_FL%5EY@XOVERFL%5EY@XOVER_ARM_VAR%5Etrtag1@XOVER_ARMN_VAR%5Etrtag1n" TargetMode="External"/><Relationship Id="rId46" Type="http://schemas.openxmlformats.org/officeDocument/2006/relationships/hyperlink" Target="mailto:RPTHORIZ%5EY@ADD_REL%5Erelgr3=%22&#33647;&#29289;&#30456;&#20851;%22" TargetMode="External"/><Relationship Id="rId20" Type="http://schemas.openxmlformats.org/officeDocument/2006/relationships/hyperlink" Target="mailto:RPTHORIZ%5EN@SUBSET_ADD%5Erelgr1=%22&#33647;&#29289;&#30456;&#20851;%22" TargetMode="External"/><Relationship Id="rId41" Type="http://schemas.openxmlformats.org/officeDocument/2006/relationships/hyperlink" Target="mailto:RPTHORIZ%5EN@ARM_TOTAL_FL%5EY@XOVERFL%5EY@XOVER_ARM_VAR%5Etrtag1@XOVER_ARMN_VAR%5Etrtag1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7"/>
  <sheetViews>
    <sheetView showGridLines="0" view="pageBreakPreview" topLeftCell="A10" zoomScaleNormal="100" zoomScaleSheetLayoutView="100" workbookViewId="0">
      <selection activeCell="I21" sqref="I21"/>
    </sheetView>
  </sheetViews>
  <sheetFormatPr defaultColWidth="9" defaultRowHeight="14.25" customHeight="1" x14ac:dyDescent="0.35"/>
  <cols>
    <col min="1" max="1" width="2" style="1" customWidth="1"/>
    <col min="2" max="3" width="9" style="1" customWidth="1"/>
    <col min="4" max="4" width="11.08203125" style="1" customWidth="1"/>
    <col min="5" max="5" width="9" style="1" customWidth="1"/>
    <col min="6" max="7" width="6.08203125" style="1" customWidth="1"/>
    <col min="8" max="8" width="5.33203125" style="1" customWidth="1"/>
    <col min="9" max="9" width="28.08203125" style="1" customWidth="1"/>
    <col min="10" max="10" width="9" style="1" customWidth="1"/>
    <col min="11" max="16384" width="9" style="1"/>
  </cols>
  <sheetData>
    <row r="1" spans="1:15" ht="12" customHeight="1" x14ac:dyDescent="0.35"/>
    <row r="6" spans="1:15" ht="25.5" customHeight="1" x14ac:dyDescent="0.35">
      <c r="B6" s="175"/>
      <c r="C6" s="174"/>
      <c r="D6" s="174"/>
      <c r="E6" s="174"/>
      <c r="F6" s="174"/>
      <c r="G6" s="174"/>
      <c r="H6" s="174"/>
      <c r="I6" s="174"/>
      <c r="J6" s="174"/>
      <c r="K6" s="174"/>
      <c r="L6" s="174"/>
      <c r="M6" s="174"/>
      <c r="N6" s="174"/>
      <c r="O6" s="174"/>
    </row>
    <row r="7" spans="1:15" ht="29.25" customHeight="1" x14ac:dyDescent="0.35">
      <c r="A7" s="2"/>
      <c r="B7" s="173" t="s">
        <v>0</v>
      </c>
      <c r="C7" s="174"/>
      <c r="D7" s="174"/>
      <c r="E7" s="174"/>
      <c r="F7" s="174"/>
      <c r="G7" s="174"/>
      <c r="H7" s="174"/>
      <c r="I7" s="174"/>
      <c r="J7" s="174"/>
      <c r="K7" s="174"/>
      <c r="L7" s="174"/>
      <c r="M7" s="174"/>
      <c r="N7" s="174"/>
      <c r="O7" s="174"/>
    </row>
    <row r="8" spans="1:15" ht="48.75" customHeight="1" x14ac:dyDescent="0.35">
      <c r="A8" s="2"/>
      <c r="B8" s="179"/>
      <c r="C8" s="174"/>
      <c r="D8" s="174"/>
      <c r="E8" s="174"/>
      <c r="F8" s="174"/>
      <c r="G8" s="174"/>
      <c r="H8" s="174"/>
      <c r="I8" s="174"/>
      <c r="J8" s="174"/>
      <c r="K8" s="174"/>
      <c r="L8" s="174"/>
      <c r="M8" s="174"/>
      <c r="N8" s="174"/>
      <c r="O8" s="174"/>
    </row>
    <row r="9" spans="1:15" ht="112.5" customHeight="1" x14ac:dyDescent="0.35">
      <c r="A9" s="2"/>
      <c r="B9" s="178" t="s">
        <v>1</v>
      </c>
      <c r="C9" s="174"/>
      <c r="D9" s="174"/>
      <c r="E9" s="174"/>
      <c r="F9" s="174"/>
      <c r="G9" s="174"/>
      <c r="H9" s="174"/>
      <c r="I9" s="174"/>
      <c r="J9" s="174"/>
      <c r="K9" s="174"/>
      <c r="L9" s="174"/>
      <c r="M9" s="174"/>
      <c r="N9" s="174"/>
      <c r="O9" s="174"/>
    </row>
    <row r="10" spans="1:15" ht="29.25" customHeight="1" x14ac:dyDescent="0.65">
      <c r="A10" s="2"/>
      <c r="B10" s="3"/>
      <c r="C10" s="3"/>
      <c r="D10" s="3"/>
      <c r="E10" s="3"/>
      <c r="F10" s="3"/>
      <c r="G10" s="3"/>
      <c r="H10" s="3"/>
      <c r="I10" s="4" t="s">
        <v>0</v>
      </c>
      <c r="J10" s="3"/>
      <c r="K10" s="3"/>
      <c r="L10" s="3"/>
      <c r="M10" s="3"/>
      <c r="N10" s="3"/>
      <c r="O10" s="3"/>
    </row>
    <row r="11" spans="1:15" ht="33" customHeight="1" x14ac:dyDescent="0.35"/>
    <row r="12" spans="1:15" ht="60" customHeight="1" x14ac:dyDescent="0.35">
      <c r="B12" s="173"/>
      <c r="C12" s="174"/>
      <c r="D12" s="174"/>
      <c r="E12" s="174"/>
      <c r="F12" s="174"/>
      <c r="G12" s="174"/>
      <c r="H12" s="174"/>
      <c r="I12" s="174"/>
      <c r="J12" s="174"/>
      <c r="K12" s="174"/>
      <c r="L12" s="174"/>
      <c r="M12" s="174"/>
      <c r="N12" s="174"/>
      <c r="O12" s="174"/>
    </row>
    <row r="13" spans="1:15" ht="21" customHeight="1" x14ac:dyDescent="0.35">
      <c r="B13" s="176"/>
      <c r="C13" s="174"/>
      <c r="D13" s="174"/>
      <c r="E13" s="174"/>
      <c r="F13" s="174"/>
      <c r="G13" s="174"/>
      <c r="H13" s="174"/>
      <c r="I13" s="174"/>
      <c r="J13" s="174"/>
      <c r="K13" s="174"/>
      <c r="L13" s="174"/>
      <c r="M13" s="174"/>
      <c r="N13" s="174"/>
      <c r="O13" s="174"/>
    </row>
    <row r="14" spans="1:15" ht="21" customHeight="1" x14ac:dyDescent="0.35">
      <c r="B14" s="176" t="s">
        <v>778</v>
      </c>
      <c r="C14" s="174"/>
      <c r="D14" s="174"/>
      <c r="E14" s="174"/>
      <c r="F14" s="174"/>
      <c r="G14" s="174"/>
      <c r="H14" s="174"/>
      <c r="I14" s="174"/>
      <c r="J14" s="174"/>
      <c r="K14" s="174"/>
      <c r="L14" s="174"/>
      <c r="M14" s="174"/>
      <c r="N14" s="174"/>
      <c r="O14" s="174"/>
    </row>
    <row r="15" spans="1:15" ht="21" customHeight="1" x14ac:dyDescent="0.35">
      <c r="B15" s="176" t="s">
        <v>779</v>
      </c>
      <c r="C15" s="174"/>
      <c r="D15" s="174"/>
      <c r="E15" s="174"/>
      <c r="F15" s="174"/>
      <c r="G15" s="174"/>
      <c r="H15" s="174"/>
      <c r="I15" s="174"/>
      <c r="J15" s="174"/>
      <c r="K15" s="174"/>
      <c r="L15" s="174"/>
      <c r="M15" s="174"/>
      <c r="N15" s="174"/>
      <c r="O15" s="174"/>
    </row>
    <row r="16" spans="1:15" ht="45" customHeight="1" x14ac:dyDescent="0.5">
      <c r="B16" s="12"/>
      <c r="C16" s="12"/>
      <c r="D16" s="12"/>
      <c r="E16" s="12"/>
      <c r="F16" s="12"/>
      <c r="G16" s="12"/>
      <c r="H16" s="12"/>
      <c r="I16" s="13" t="s">
        <v>2</v>
      </c>
      <c r="J16" s="12"/>
      <c r="K16" s="12"/>
      <c r="L16" s="12"/>
      <c r="M16" s="12"/>
      <c r="N16" s="12"/>
      <c r="O16" s="12"/>
    </row>
    <row r="17" spans="1:15" ht="45.75" customHeight="1" x14ac:dyDescent="0.35">
      <c r="A17" s="177" t="s">
        <v>3</v>
      </c>
      <c r="B17" s="174"/>
      <c r="C17" s="174"/>
      <c r="D17" s="174"/>
      <c r="E17" s="174"/>
      <c r="F17" s="174"/>
      <c r="G17" s="174"/>
      <c r="H17" s="174"/>
      <c r="I17" s="174"/>
      <c r="J17" s="174"/>
      <c r="K17" s="174"/>
      <c r="L17" s="174"/>
      <c r="M17" s="174"/>
      <c r="N17" s="174"/>
    </row>
    <row r="18" spans="1:15" ht="14.25" customHeight="1" x14ac:dyDescent="0.35">
      <c r="O18" s="5"/>
    </row>
    <row r="19" spans="1:15" ht="23.25" customHeight="1" x14ac:dyDescent="0.35"/>
    <row r="20" spans="1:15" ht="21" customHeight="1" x14ac:dyDescent="0.35">
      <c r="B20" s="6"/>
      <c r="C20" s="6"/>
      <c r="D20" s="6"/>
      <c r="E20" s="6"/>
      <c r="F20" s="6"/>
      <c r="G20" s="6"/>
    </row>
    <row r="21" spans="1:15" ht="51.75" customHeight="1" x14ac:dyDescent="0.35">
      <c r="B21" s="6"/>
      <c r="C21" s="6"/>
      <c r="D21" s="6"/>
      <c r="E21" s="6"/>
      <c r="F21" s="6"/>
      <c r="G21" s="6"/>
    </row>
    <row r="22" spans="1:15" ht="35.25" customHeight="1" x14ac:dyDescent="0.35">
      <c r="B22" s="6"/>
      <c r="C22" s="6"/>
      <c r="D22" s="6"/>
      <c r="E22" s="6"/>
      <c r="F22" s="6"/>
      <c r="G22" s="6"/>
    </row>
    <row r="23" spans="1:15" s="7" customFormat="1" ht="19.5" customHeight="1" x14ac:dyDescent="0.3">
      <c r="B23" s="171"/>
      <c r="C23" s="172"/>
      <c r="D23" s="172"/>
      <c r="E23" s="172"/>
      <c r="F23" s="172"/>
      <c r="G23" s="172"/>
      <c r="H23" s="172"/>
      <c r="I23" s="172"/>
      <c r="J23" s="172"/>
      <c r="K23" s="172"/>
      <c r="L23" s="172"/>
      <c r="M23" s="172"/>
      <c r="N23" s="172"/>
      <c r="O23" s="172"/>
    </row>
    <row r="24" spans="1:15" s="7" customFormat="1" ht="19.5" customHeight="1" x14ac:dyDescent="0.3">
      <c r="B24" s="171"/>
      <c r="C24" s="172"/>
      <c r="D24" s="172"/>
      <c r="E24" s="172"/>
      <c r="F24" s="172"/>
      <c r="G24" s="172"/>
      <c r="H24" s="172"/>
      <c r="I24" s="172"/>
      <c r="J24" s="172"/>
      <c r="K24" s="172"/>
      <c r="L24" s="172"/>
      <c r="M24" s="172"/>
      <c r="N24" s="172"/>
      <c r="O24" s="172"/>
    </row>
    <row r="25" spans="1:15" s="7" customFormat="1" ht="18.75" customHeight="1" x14ac:dyDescent="0.3">
      <c r="B25" s="8"/>
      <c r="C25" s="8"/>
      <c r="D25" s="8"/>
      <c r="E25" s="8"/>
      <c r="F25" s="8"/>
      <c r="G25" s="8"/>
    </row>
    <row r="26" spans="1:15" s="7" customFormat="1" ht="19.5" customHeight="1" x14ac:dyDescent="0.3">
      <c r="B26" s="171"/>
      <c r="C26" s="172"/>
      <c r="D26" s="172"/>
      <c r="E26" s="172"/>
      <c r="F26" s="172"/>
      <c r="G26" s="172"/>
      <c r="H26" s="172"/>
      <c r="I26" s="172"/>
      <c r="J26" s="172"/>
      <c r="K26" s="172"/>
      <c r="L26" s="172"/>
      <c r="M26" s="172"/>
      <c r="N26" s="172"/>
      <c r="O26" s="172"/>
    </row>
    <row r="27" spans="1:15" s="7" customFormat="1" ht="19.5" customHeight="1" x14ac:dyDescent="0.3">
      <c r="B27" s="171"/>
      <c r="C27" s="172"/>
      <c r="D27" s="172"/>
      <c r="E27" s="172"/>
      <c r="F27" s="172"/>
      <c r="G27" s="172"/>
      <c r="H27" s="172"/>
      <c r="I27" s="172"/>
      <c r="J27" s="172"/>
      <c r="K27" s="172"/>
      <c r="L27" s="172"/>
      <c r="M27" s="172"/>
      <c r="N27" s="172"/>
      <c r="O27" s="172"/>
    </row>
  </sheetData>
  <mergeCells count="13">
    <mergeCell ref="B27:O27"/>
    <mergeCell ref="B26:O26"/>
    <mergeCell ref="B12:O12"/>
    <mergeCell ref="B6:O6"/>
    <mergeCell ref="B24:O24"/>
    <mergeCell ref="B15:O15"/>
    <mergeCell ref="B7:O7"/>
    <mergeCell ref="B23:O23"/>
    <mergeCell ref="B14:O14"/>
    <mergeCell ref="A17:N17"/>
    <mergeCell ref="B9:O9"/>
    <mergeCell ref="B13:O13"/>
    <mergeCell ref="B8:O8"/>
  </mergeCells>
  <phoneticPr fontId="46" type="noConversion"/>
  <pageMargins left="0.78740157480314965" right="0.78740157480314965" top="0.78740157480314965" bottom="0.78740157480314965" header="0.51181102362204722" footer="0.51181102362204722"/>
  <pageSetup paperSize="9" scale="8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0"/>
  <sheetViews>
    <sheetView topLeftCell="B40" zoomScaleNormal="100" workbookViewId="0">
      <selection activeCell="J61" sqref="J61"/>
    </sheetView>
  </sheetViews>
  <sheetFormatPr defaultColWidth="9" defaultRowHeight="12.5" x14ac:dyDescent="0.3"/>
  <cols>
    <col min="1" max="1" width="46.33203125" style="46" customWidth="1"/>
    <col min="2" max="2" width="24.5" style="46" customWidth="1"/>
    <col min="3" max="3" width="18.25" style="46" customWidth="1"/>
    <col min="4" max="4" width="16.33203125" style="46" customWidth="1"/>
    <col min="5" max="5" width="19.08203125" style="46" bestFit="1" customWidth="1"/>
    <col min="6" max="6" width="13.33203125" style="46" bestFit="1" customWidth="1"/>
    <col min="7" max="7" width="16.33203125" style="46" customWidth="1"/>
    <col min="8" max="8" width="14" style="46" customWidth="1"/>
    <col min="9" max="9" width="15" style="46" customWidth="1"/>
    <col min="10" max="10" width="18.75" style="46" customWidth="1"/>
    <col min="11" max="11" width="22.5" style="46" customWidth="1"/>
    <col min="12" max="12" width="15.83203125" style="46" customWidth="1"/>
    <col min="13" max="13" width="9" style="46" customWidth="1"/>
    <col min="14" max="16384" width="9" style="46"/>
  </cols>
  <sheetData>
    <row r="1" spans="1:11" s="10" customFormat="1" ht="32.15" customHeight="1" x14ac:dyDescent="0.3">
      <c r="A1" s="33" t="s">
        <v>4</v>
      </c>
      <c r="B1" s="33" t="s">
        <v>5</v>
      </c>
      <c r="C1" s="33" t="s">
        <v>6</v>
      </c>
      <c r="D1" s="33" t="s">
        <v>7</v>
      </c>
      <c r="E1" s="33" t="s">
        <v>8</v>
      </c>
      <c r="F1" s="33" t="s">
        <v>9</v>
      </c>
      <c r="G1" s="9" t="s">
        <v>10</v>
      </c>
      <c r="H1" s="9" t="s">
        <v>11</v>
      </c>
      <c r="I1" s="9" t="s">
        <v>12</v>
      </c>
      <c r="J1" s="9" t="s">
        <v>13</v>
      </c>
      <c r="K1" s="10" t="s">
        <v>14</v>
      </c>
    </row>
    <row r="2" spans="1:11" ht="14.15" customHeight="1" x14ac:dyDescent="0.3">
      <c r="A2" s="49" t="s">
        <v>15</v>
      </c>
      <c r="B2" s="50" t="s">
        <v>16</v>
      </c>
      <c r="C2" s="50" t="s">
        <v>17</v>
      </c>
      <c r="D2" s="51" t="s">
        <v>18</v>
      </c>
      <c r="E2" s="52"/>
      <c r="F2" s="53" t="s">
        <v>780</v>
      </c>
      <c r="G2" s="51" t="s">
        <v>19</v>
      </c>
      <c r="H2" s="53"/>
      <c r="I2" s="54"/>
      <c r="J2" s="50"/>
      <c r="K2" s="50" t="s">
        <v>1142</v>
      </c>
    </row>
    <row r="3" spans="1:11" ht="14.15" customHeight="1" x14ac:dyDescent="0.3">
      <c r="A3" s="49" t="s">
        <v>20</v>
      </c>
      <c r="B3" s="50" t="s">
        <v>16</v>
      </c>
      <c r="C3" s="50" t="s">
        <v>21</v>
      </c>
      <c r="D3" s="51" t="s">
        <v>18</v>
      </c>
      <c r="E3" s="52"/>
      <c r="F3" s="53" t="s">
        <v>780</v>
      </c>
      <c r="G3" s="51" t="s">
        <v>19</v>
      </c>
      <c r="H3" s="53"/>
      <c r="I3" s="54"/>
      <c r="J3" s="50"/>
      <c r="K3" s="50" t="s">
        <v>1142</v>
      </c>
    </row>
    <row r="4" spans="1:11" ht="13.5" customHeight="1" x14ac:dyDescent="0.3">
      <c r="A4" s="49" t="s">
        <v>22</v>
      </c>
      <c r="B4" s="50" t="s">
        <v>16</v>
      </c>
      <c r="C4" s="50" t="s">
        <v>23</v>
      </c>
      <c r="D4" s="51" t="s">
        <v>18</v>
      </c>
      <c r="E4" s="52"/>
      <c r="F4" s="53" t="s">
        <v>780</v>
      </c>
      <c r="G4" s="51" t="s">
        <v>19</v>
      </c>
      <c r="H4" s="53"/>
      <c r="I4" s="52"/>
      <c r="J4" s="50"/>
      <c r="K4" s="50" t="s">
        <v>1142</v>
      </c>
    </row>
    <row r="5" spans="1:11" ht="14.15" customHeight="1" x14ac:dyDescent="0.3">
      <c r="A5" s="55" t="s">
        <v>24</v>
      </c>
      <c r="B5" s="50" t="s">
        <v>16</v>
      </c>
      <c r="C5" s="50" t="s">
        <v>25</v>
      </c>
      <c r="D5" s="51" t="s">
        <v>18</v>
      </c>
      <c r="E5" s="54"/>
      <c r="F5" s="53"/>
      <c r="G5" s="51" t="s">
        <v>19</v>
      </c>
      <c r="H5" s="53"/>
      <c r="I5" s="54"/>
      <c r="J5" s="50"/>
      <c r="K5" s="50"/>
    </row>
    <row r="6" spans="1:11" ht="14.15" customHeight="1" x14ac:dyDescent="0.3">
      <c r="A6" s="49" t="s">
        <v>26</v>
      </c>
      <c r="B6" s="50" t="s">
        <v>16</v>
      </c>
      <c r="C6" s="50" t="s">
        <v>27</v>
      </c>
      <c r="D6" s="51" t="s">
        <v>18</v>
      </c>
      <c r="E6" s="52"/>
      <c r="F6" s="53" t="s">
        <v>780</v>
      </c>
      <c r="G6" s="51" t="s">
        <v>19</v>
      </c>
      <c r="H6" s="53"/>
      <c r="I6" s="54"/>
      <c r="J6" s="50"/>
      <c r="K6" s="50" t="s">
        <v>1142</v>
      </c>
    </row>
    <row r="7" spans="1:11" ht="13" customHeight="1" x14ac:dyDescent="0.3">
      <c r="A7" s="32" t="s">
        <v>28</v>
      </c>
      <c r="B7" s="43" t="s">
        <v>29</v>
      </c>
      <c r="C7" s="43" t="s">
        <v>30</v>
      </c>
      <c r="D7" s="20" t="s">
        <v>19</v>
      </c>
      <c r="E7" s="35" t="s">
        <v>1148</v>
      </c>
      <c r="F7" s="45" t="s">
        <v>780</v>
      </c>
      <c r="G7" s="20" t="s">
        <v>18</v>
      </c>
      <c r="H7" s="112" t="str">
        <f t="shared" ref="H7:H33" si="0">"v_"&amp;B7</f>
        <v>v_dm.sas</v>
      </c>
      <c r="I7" s="35" t="s">
        <v>1148</v>
      </c>
      <c r="J7" s="43" t="s">
        <v>800</v>
      </c>
      <c r="K7" s="144"/>
    </row>
    <row r="8" spans="1:11" ht="14.5" customHeight="1" x14ac:dyDescent="0.3">
      <c r="A8" s="21" t="s">
        <v>31</v>
      </c>
      <c r="B8" s="43" t="s">
        <v>32</v>
      </c>
      <c r="C8" s="43" t="s">
        <v>33</v>
      </c>
      <c r="D8" s="20" t="s">
        <v>19</v>
      </c>
      <c r="E8" s="35" t="s">
        <v>1148</v>
      </c>
      <c r="F8" s="45" t="s">
        <v>780</v>
      </c>
      <c r="G8" s="20" t="s">
        <v>18</v>
      </c>
      <c r="H8" s="112" t="str">
        <f t="shared" si="0"/>
        <v>v_dc.sas</v>
      </c>
      <c r="I8" s="35" t="s">
        <v>1148</v>
      </c>
      <c r="J8" s="43" t="s">
        <v>800</v>
      </c>
      <c r="K8" s="43"/>
    </row>
    <row r="9" spans="1:11" ht="13" customHeight="1" x14ac:dyDescent="0.3">
      <c r="A9" s="32" t="s">
        <v>34</v>
      </c>
      <c r="B9" s="43" t="s">
        <v>35</v>
      </c>
      <c r="C9" s="43" t="s">
        <v>36</v>
      </c>
      <c r="D9" s="20" t="s">
        <v>18</v>
      </c>
      <c r="E9" s="35" t="s">
        <v>1148</v>
      </c>
      <c r="F9" s="45" t="s">
        <v>780</v>
      </c>
      <c r="G9" s="20" t="s">
        <v>19</v>
      </c>
      <c r="H9" s="112" t="str">
        <f t="shared" si="0"/>
        <v>v_se.sas</v>
      </c>
      <c r="I9" s="35" t="s">
        <v>1148</v>
      </c>
      <c r="J9" s="43" t="s">
        <v>800</v>
      </c>
      <c r="K9" s="43"/>
    </row>
    <row r="10" spans="1:11" ht="13" customHeight="1" x14ac:dyDescent="0.3">
      <c r="A10" s="32" t="s">
        <v>37</v>
      </c>
      <c r="B10" s="43" t="s">
        <v>38</v>
      </c>
      <c r="C10" s="43" t="s">
        <v>39</v>
      </c>
      <c r="D10" s="20" t="s">
        <v>19</v>
      </c>
      <c r="E10" s="35" t="s">
        <v>1148</v>
      </c>
      <c r="F10" s="28" t="s">
        <v>780</v>
      </c>
      <c r="G10" s="20" t="s">
        <v>18</v>
      </c>
      <c r="H10" s="112" t="str">
        <f t="shared" si="0"/>
        <v>v_sv.sas</v>
      </c>
      <c r="I10" s="35" t="s">
        <v>1148</v>
      </c>
      <c r="J10" s="43" t="s">
        <v>800</v>
      </c>
      <c r="K10" s="43"/>
    </row>
    <row r="11" spans="1:11" ht="13" customHeight="1" x14ac:dyDescent="0.3">
      <c r="A11" s="32" t="s">
        <v>40</v>
      </c>
      <c r="B11" s="43" t="s">
        <v>41</v>
      </c>
      <c r="C11" s="43" t="s">
        <v>42</v>
      </c>
      <c r="D11" s="20" t="s">
        <v>18</v>
      </c>
      <c r="E11" s="35" t="s">
        <v>1148</v>
      </c>
      <c r="F11" s="45" t="s">
        <v>780</v>
      </c>
      <c r="G11" s="20" t="s">
        <v>43</v>
      </c>
      <c r="H11" s="112" t="str">
        <f t="shared" si="0"/>
        <v>v_cm.sas</v>
      </c>
      <c r="I11" s="35" t="s">
        <v>1148</v>
      </c>
      <c r="J11" s="43" t="s">
        <v>800</v>
      </c>
      <c r="K11" s="43"/>
    </row>
    <row r="12" spans="1:11" ht="13" customHeight="1" x14ac:dyDescent="0.3">
      <c r="A12" s="48" t="s">
        <v>44</v>
      </c>
      <c r="B12" s="43" t="s">
        <v>45</v>
      </c>
      <c r="C12" s="43" t="s">
        <v>46</v>
      </c>
      <c r="D12" s="20" t="s">
        <v>19</v>
      </c>
      <c r="E12" s="35" t="s">
        <v>1148</v>
      </c>
      <c r="F12" s="45" t="s">
        <v>780</v>
      </c>
      <c r="G12" s="20" t="s">
        <v>18</v>
      </c>
      <c r="H12" s="112" t="str">
        <f t="shared" si="0"/>
        <v>v_cv.sas</v>
      </c>
      <c r="I12" s="35" t="s">
        <v>1148</v>
      </c>
      <c r="J12" s="43" t="s">
        <v>800</v>
      </c>
      <c r="K12" s="43"/>
    </row>
    <row r="13" spans="1:11" ht="14.5" customHeight="1" x14ac:dyDescent="0.3">
      <c r="A13" s="21" t="s">
        <v>47</v>
      </c>
      <c r="B13" s="43" t="s">
        <v>48</v>
      </c>
      <c r="C13" s="43" t="s">
        <v>49</v>
      </c>
      <c r="D13" s="20" t="s">
        <v>18</v>
      </c>
      <c r="E13" s="35" t="s">
        <v>1148</v>
      </c>
      <c r="F13" s="45" t="s">
        <v>780</v>
      </c>
      <c r="G13" s="20" t="s">
        <v>43</v>
      </c>
      <c r="H13" s="112" t="str">
        <f t="shared" si="0"/>
        <v>v_ec.sas</v>
      </c>
      <c r="I13" s="35" t="s">
        <v>1148</v>
      </c>
      <c r="J13" s="43" t="s">
        <v>800</v>
      </c>
      <c r="K13" s="43"/>
    </row>
    <row r="14" spans="1:11" ht="13" customHeight="1" x14ac:dyDescent="0.3">
      <c r="A14" s="32" t="s">
        <v>50</v>
      </c>
      <c r="B14" s="43" t="s">
        <v>51</v>
      </c>
      <c r="C14" s="43" t="s">
        <v>52</v>
      </c>
      <c r="D14" s="20" t="s">
        <v>18</v>
      </c>
      <c r="E14" s="35" t="s">
        <v>1148</v>
      </c>
      <c r="F14" s="45" t="s">
        <v>780</v>
      </c>
      <c r="G14" s="20" t="s">
        <v>43</v>
      </c>
      <c r="H14" s="112" t="str">
        <f t="shared" si="0"/>
        <v>v_ex.sas</v>
      </c>
      <c r="I14" s="35" t="s">
        <v>1148</v>
      </c>
      <c r="J14" s="43" t="s">
        <v>800</v>
      </c>
      <c r="K14" s="43"/>
    </row>
    <row r="15" spans="1:11" ht="13" customHeight="1" x14ac:dyDescent="0.3">
      <c r="A15" s="32" t="s">
        <v>53</v>
      </c>
      <c r="B15" s="43" t="s">
        <v>54</v>
      </c>
      <c r="C15" s="43" t="s">
        <v>55</v>
      </c>
      <c r="D15" s="20" t="s">
        <v>18</v>
      </c>
      <c r="E15" s="35" t="s">
        <v>1148</v>
      </c>
      <c r="F15" s="45" t="s">
        <v>780</v>
      </c>
      <c r="G15" s="20" t="s">
        <v>56</v>
      </c>
      <c r="H15" s="112" t="str">
        <f t="shared" si="0"/>
        <v>v_pr.sas</v>
      </c>
      <c r="I15" s="35" t="s">
        <v>1148</v>
      </c>
      <c r="J15" s="43" t="s">
        <v>800</v>
      </c>
      <c r="K15" s="136"/>
    </row>
    <row r="16" spans="1:11" ht="13" customHeight="1" x14ac:dyDescent="0.3">
      <c r="A16" s="32" t="s">
        <v>57</v>
      </c>
      <c r="B16" s="43" t="s">
        <v>58</v>
      </c>
      <c r="C16" s="43" t="s">
        <v>59</v>
      </c>
      <c r="D16" s="20" t="s">
        <v>19</v>
      </c>
      <c r="E16" s="35" t="s">
        <v>1148</v>
      </c>
      <c r="F16" s="45" t="s">
        <v>780</v>
      </c>
      <c r="G16" s="20" t="s">
        <v>18</v>
      </c>
      <c r="H16" s="112" t="str">
        <f t="shared" si="0"/>
        <v>v_su.sas</v>
      </c>
      <c r="I16" s="35" t="s">
        <v>1148</v>
      </c>
      <c r="J16" s="43" t="s">
        <v>800</v>
      </c>
      <c r="K16" s="43"/>
    </row>
    <row r="17" spans="1:11" ht="13" customHeight="1" x14ac:dyDescent="0.3">
      <c r="A17" s="32" t="s">
        <v>60</v>
      </c>
      <c r="B17" s="43" t="s">
        <v>61</v>
      </c>
      <c r="C17" s="43" t="s">
        <v>62</v>
      </c>
      <c r="D17" s="20" t="s">
        <v>63</v>
      </c>
      <c r="E17" s="35" t="s">
        <v>1148</v>
      </c>
      <c r="F17" s="45" t="s">
        <v>780</v>
      </c>
      <c r="G17" s="20" t="s">
        <v>43</v>
      </c>
      <c r="H17" s="112" t="str">
        <f t="shared" si="0"/>
        <v>v_ae.sas</v>
      </c>
      <c r="I17" s="35" t="s">
        <v>1148</v>
      </c>
      <c r="J17" s="43" t="s">
        <v>800</v>
      </c>
      <c r="K17" s="43"/>
    </row>
    <row r="18" spans="1:11" s="40" customFormat="1" ht="14.5" customHeight="1" x14ac:dyDescent="0.3">
      <c r="A18" s="36" t="s">
        <v>64</v>
      </c>
      <c r="B18" s="37" t="s">
        <v>65</v>
      </c>
      <c r="C18" s="37" t="s">
        <v>66</v>
      </c>
      <c r="D18" s="38" t="s">
        <v>63</v>
      </c>
      <c r="E18" s="35" t="s">
        <v>1148</v>
      </c>
      <c r="F18" s="45" t="s">
        <v>780</v>
      </c>
      <c r="G18" s="38" t="s">
        <v>67</v>
      </c>
      <c r="H18" s="112" t="str">
        <f t="shared" si="0"/>
        <v>v_ce.sas</v>
      </c>
      <c r="I18" s="35" t="s">
        <v>1148</v>
      </c>
      <c r="J18" s="43" t="s">
        <v>800</v>
      </c>
      <c r="K18" s="56"/>
    </row>
    <row r="19" spans="1:11" ht="13" customHeight="1" x14ac:dyDescent="0.3">
      <c r="A19" s="32" t="s">
        <v>68</v>
      </c>
      <c r="B19" s="43" t="s">
        <v>69</v>
      </c>
      <c r="C19" s="43" t="s">
        <v>70</v>
      </c>
      <c r="D19" s="20" t="s">
        <v>19</v>
      </c>
      <c r="E19" s="35" t="s">
        <v>1148</v>
      </c>
      <c r="F19" s="45" t="s">
        <v>780</v>
      </c>
      <c r="G19" s="20" t="s">
        <v>43</v>
      </c>
      <c r="H19" s="112" t="str">
        <f t="shared" si="0"/>
        <v>v_ds.sas</v>
      </c>
      <c r="I19" s="35" t="s">
        <v>1148</v>
      </c>
      <c r="J19" s="43" t="s">
        <v>800</v>
      </c>
      <c r="K19" s="43"/>
    </row>
    <row r="20" spans="1:11" s="107" customFormat="1" ht="14.15" customHeight="1" x14ac:dyDescent="0.3">
      <c r="A20" s="104" t="s">
        <v>71</v>
      </c>
      <c r="B20" s="105" t="s">
        <v>72</v>
      </c>
      <c r="C20" s="105" t="s">
        <v>73</v>
      </c>
      <c r="D20" s="106" t="s">
        <v>18</v>
      </c>
      <c r="E20" s="35" t="s">
        <v>1148</v>
      </c>
      <c r="F20" s="45" t="s">
        <v>780</v>
      </c>
      <c r="G20" s="106" t="s">
        <v>19</v>
      </c>
      <c r="H20" s="112" t="str">
        <f t="shared" si="0"/>
        <v>v_dv.sas</v>
      </c>
      <c r="I20" s="35" t="s">
        <v>1148</v>
      </c>
      <c r="J20" s="43" t="s">
        <v>800</v>
      </c>
      <c r="K20" s="105"/>
    </row>
    <row r="21" spans="1:11" ht="13" customHeight="1" x14ac:dyDescent="0.3">
      <c r="A21" s="32" t="s">
        <v>74</v>
      </c>
      <c r="B21" s="43" t="s">
        <v>75</v>
      </c>
      <c r="C21" s="43" t="s">
        <v>76</v>
      </c>
      <c r="D21" s="20" t="s">
        <v>19</v>
      </c>
      <c r="E21" s="35" t="s">
        <v>1148</v>
      </c>
      <c r="F21" s="45" t="s">
        <v>780</v>
      </c>
      <c r="G21" s="20" t="s">
        <v>18</v>
      </c>
      <c r="H21" s="112" t="str">
        <f t="shared" si="0"/>
        <v>v_mh.sas</v>
      </c>
      <c r="I21" s="35" t="s">
        <v>1148</v>
      </c>
      <c r="J21" s="43" t="s">
        <v>800</v>
      </c>
      <c r="K21" s="43"/>
    </row>
    <row r="22" spans="1:11" ht="13" customHeight="1" x14ac:dyDescent="0.3">
      <c r="A22" s="32" t="s">
        <v>77</v>
      </c>
      <c r="B22" s="43" t="s">
        <v>78</v>
      </c>
      <c r="C22" s="43" t="s">
        <v>79</v>
      </c>
      <c r="D22" s="20" t="s">
        <v>63</v>
      </c>
      <c r="E22" s="35" t="s">
        <v>1148</v>
      </c>
      <c r="F22" s="45" t="s">
        <v>780</v>
      </c>
      <c r="G22" s="20" t="s">
        <v>43</v>
      </c>
      <c r="H22" s="112" t="str">
        <f t="shared" si="0"/>
        <v>v_dd.sas</v>
      </c>
      <c r="I22" s="35" t="s">
        <v>1148</v>
      </c>
      <c r="J22" s="43" t="s">
        <v>800</v>
      </c>
      <c r="K22" s="43"/>
    </row>
    <row r="23" spans="1:11" ht="13" customHeight="1" x14ac:dyDescent="0.3">
      <c r="A23" s="32" t="s">
        <v>80</v>
      </c>
      <c r="B23" s="43" t="s">
        <v>81</v>
      </c>
      <c r="C23" s="43" t="s">
        <v>82</v>
      </c>
      <c r="D23" s="20" t="s">
        <v>63</v>
      </c>
      <c r="E23" s="35" t="s">
        <v>1148</v>
      </c>
      <c r="F23" s="45" t="s">
        <v>780</v>
      </c>
      <c r="G23" s="20" t="s">
        <v>67</v>
      </c>
      <c r="H23" s="112" t="str">
        <f t="shared" si="0"/>
        <v>v_eg.sas</v>
      </c>
      <c r="I23" s="35" t="s">
        <v>1148</v>
      </c>
      <c r="J23" s="43" t="s">
        <v>800</v>
      </c>
      <c r="K23" s="43" t="s">
        <v>1141</v>
      </c>
    </row>
    <row r="24" spans="1:11" ht="13.5" customHeight="1" x14ac:dyDescent="0.3">
      <c r="A24" s="32" t="s">
        <v>83</v>
      </c>
      <c r="B24" s="43" t="s">
        <v>84</v>
      </c>
      <c r="C24" s="43" t="s">
        <v>85</v>
      </c>
      <c r="D24" s="20" t="s">
        <v>18</v>
      </c>
      <c r="E24" s="35" t="s">
        <v>1148</v>
      </c>
      <c r="F24" s="45" t="s">
        <v>780</v>
      </c>
      <c r="G24" s="20" t="s">
        <v>19</v>
      </c>
      <c r="H24" s="112" t="str">
        <f t="shared" si="0"/>
        <v>v_ie.sas</v>
      </c>
      <c r="I24" s="35" t="s">
        <v>1148</v>
      </c>
      <c r="J24" s="43" t="s">
        <v>800</v>
      </c>
      <c r="K24" s="43"/>
    </row>
    <row r="25" spans="1:11" ht="13" customHeight="1" x14ac:dyDescent="0.3">
      <c r="A25" s="32" t="s">
        <v>86</v>
      </c>
      <c r="B25" s="43" t="s">
        <v>87</v>
      </c>
      <c r="C25" s="43" t="s">
        <v>88</v>
      </c>
      <c r="D25" s="20" t="s">
        <v>19</v>
      </c>
      <c r="E25" s="35" t="s">
        <v>1148</v>
      </c>
      <c r="F25" s="45" t="s">
        <v>780</v>
      </c>
      <c r="G25" s="20" t="s">
        <v>43</v>
      </c>
      <c r="H25" s="112" t="str">
        <f t="shared" si="0"/>
        <v>v_lb.sas</v>
      </c>
      <c r="I25" s="35" t="s">
        <v>1148</v>
      </c>
      <c r="J25" s="43" t="s">
        <v>800</v>
      </c>
      <c r="K25" s="43"/>
    </row>
    <row r="26" spans="1:11" ht="13" customHeight="1" x14ac:dyDescent="0.3">
      <c r="A26" s="32" t="s">
        <v>89</v>
      </c>
      <c r="B26" s="43" t="s">
        <v>90</v>
      </c>
      <c r="C26" s="43" t="s">
        <v>91</v>
      </c>
      <c r="D26" s="20" t="s">
        <v>19</v>
      </c>
      <c r="E26" s="35" t="s">
        <v>1148</v>
      </c>
      <c r="F26" s="45" t="s">
        <v>780</v>
      </c>
      <c r="G26" s="20" t="s">
        <v>67</v>
      </c>
      <c r="H26" s="112" t="str">
        <f t="shared" si="0"/>
        <v>v_mb.sas</v>
      </c>
      <c r="I26" s="35" t="s">
        <v>1148</v>
      </c>
      <c r="J26" s="43" t="s">
        <v>800</v>
      </c>
      <c r="K26" s="43"/>
    </row>
    <row r="27" spans="1:11" ht="14.5" customHeight="1" x14ac:dyDescent="0.3">
      <c r="A27" s="21" t="s">
        <v>92</v>
      </c>
      <c r="B27" s="43" t="s">
        <v>93</v>
      </c>
      <c r="C27" s="43" t="s">
        <v>94</v>
      </c>
      <c r="D27" s="20" t="s">
        <v>18</v>
      </c>
      <c r="E27" s="35" t="s">
        <v>1148</v>
      </c>
      <c r="F27" s="45" t="s">
        <v>780</v>
      </c>
      <c r="G27" s="20" t="s">
        <v>67</v>
      </c>
      <c r="H27" s="112" t="str">
        <f t="shared" si="0"/>
        <v>v_mi.sas</v>
      </c>
      <c r="I27" s="35" t="s">
        <v>1148</v>
      </c>
      <c r="J27" s="43" t="s">
        <v>800</v>
      </c>
      <c r="K27" s="43"/>
    </row>
    <row r="28" spans="1:11" ht="13" customHeight="1" x14ac:dyDescent="0.3">
      <c r="A28" s="32" t="s">
        <v>95</v>
      </c>
      <c r="B28" s="43" t="s">
        <v>96</v>
      </c>
      <c r="C28" s="43" t="s">
        <v>97</v>
      </c>
      <c r="D28" s="20" t="s">
        <v>18</v>
      </c>
      <c r="E28" s="35" t="s">
        <v>1148</v>
      </c>
      <c r="F28" s="45" t="s">
        <v>780</v>
      </c>
      <c r="G28" s="20" t="s">
        <v>67</v>
      </c>
      <c r="H28" s="112" t="str">
        <f t="shared" si="0"/>
        <v>v_pe.sas</v>
      </c>
      <c r="I28" s="35" t="s">
        <v>1148</v>
      </c>
      <c r="J28" s="43" t="s">
        <v>800</v>
      </c>
      <c r="K28" s="43"/>
    </row>
    <row r="29" spans="1:11" ht="14.5" customHeight="1" x14ac:dyDescent="0.3">
      <c r="A29" s="31" t="s">
        <v>98</v>
      </c>
      <c r="B29" s="43" t="s">
        <v>99</v>
      </c>
      <c r="C29" s="43" t="s">
        <v>100</v>
      </c>
      <c r="D29" s="20" t="s">
        <v>63</v>
      </c>
      <c r="E29" s="35" t="s">
        <v>1148</v>
      </c>
      <c r="F29" s="45" t="s">
        <v>780</v>
      </c>
      <c r="G29" s="20" t="s">
        <v>18</v>
      </c>
      <c r="H29" s="112" t="str">
        <f t="shared" si="0"/>
        <v>v_rs.sas</v>
      </c>
      <c r="I29" s="35" t="s">
        <v>1148</v>
      </c>
      <c r="J29" s="43" t="s">
        <v>800</v>
      </c>
      <c r="K29" s="43" t="s">
        <v>1141</v>
      </c>
    </row>
    <row r="30" spans="1:11" ht="13" customHeight="1" x14ac:dyDescent="0.3">
      <c r="A30" s="32" t="s">
        <v>101</v>
      </c>
      <c r="B30" s="43" t="s">
        <v>102</v>
      </c>
      <c r="C30" s="43" t="s">
        <v>103</v>
      </c>
      <c r="D30" s="20" t="s">
        <v>19</v>
      </c>
      <c r="E30" s="35" t="s">
        <v>1148</v>
      </c>
      <c r="F30" s="45" t="s">
        <v>780</v>
      </c>
      <c r="G30" s="20" t="s">
        <v>43</v>
      </c>
      <c r="H30" s="112" t="str">
        <f t="shared" si="0"/>
        <v>v_ss.sas</v>
      </c>
      <c r="I30" s="35" t="s">
        <v>1148</v>
      </c>
      <c r="J30" s="43" t="s">
        <v>800</v>
      </c>
      <c r="K30" s="43"/>
    </row>
    <row r="31" spans="1:11" ht="13" customHeight="1" x14ac:dyDescent="0.3">
      <c r="A31" s="31" t="s">
        <v>104</v>
      </c>
      <c r="B31" s="43" t="s">
        <v>105</v>
      </c>
      <c r="C31" s="43" t="s">
        <v>106</v>
      </c>
      <c r="D31" s="20" t="s">
        <v>63</v>
      </c>
      <c r="E31" s="35" t="s">
        <v>1148</v>
      </c>
      <c r="F31" s="45" t="s">
        <v>780</v>
      </c>
      <c r="G31" s="20" t="s">
        <v>18</v>
      </c>
      <c r="H31" s="112" t="str">
        <f t="shared" si="0"/>
        <v>v_tr.sas</v>
      </c>
      <c r="I31" s="35" t="s">
        <v>1148</v>
      </c>
      <c r="J31" s="43" t="s">
        <v>800</v>
      </c>
      <c r="K31" s="43"/>
    </row>
    <row r="32" spans="1:11" ht="13.5" customHeight="1" x14ac:dyDescent="0.25">
      <c r="A32" s="30" t="s">
        <v>107</v>
      </c>
      <c r="B32" s="43" t="s">
        <v>108</v>
      </c>
      <c r="C32" s="43" t="s">
        <v>109</v>
      </c>
      <c r="D32" s="20" t="s">
        <v>63</v>
      </c>
      <c r="E32" s="35" t="s">
        <v>1148</v>
      </c>
      <c r="F32" s="45" t="s">
        <v>780</v>
      </c>
      <c r="G32" s="20" t="s">
        <v>18</v>
      </c>
      <c r="H32" s="112" t="str">
        <f t="shared" si="0"/>
        <v>v_tu.sas</v>
      </c>
      <c r="I32" s="35" t="s">
        <v>1148</v>
      </c>
      <c r="J32" s="43" t="s">
        <v>800</v>
      </c>
      <c r="K32" s="43"/>
    </row>
    <row r="33" spans="1:11" ht="13" customHeight="1" x14ac:dyDescent="0.3">
      <c r="A33" s="32" t="s">
        <v>110</v>
      </c>
      <c r="B33" s="43" t="s">
        <v>111</v>
      </c>
      <c r="C33" s="43" t="s">
        <v>112</v>
      </c>
      <c r="D33" s="20" t="s">
        <v>19</v>
      </c>
      <c r="E33" s="35" t="s">
        <v>1148</v>
      </c>
      <c r="F33" s="45" t="s">
        <v>780</v>
      </c>
      <c r="G33" s="20" t="s">
        <v>43</v>
      </c>
      <c r="H33" s="112" t="str">
        <f t="shared" si="0"/>
        <v>v_vs.sas</v>
      </c>
      <c r="I33" s="35" t="s">
        <v>1148</v>
      </c>
      <c r="J33" s="43" t="s">
        <v>800</v>
      </c>
      <c r="K33" s="43"/>
    </row>
    <row r="34" spans="1:11" ht="13" customHeight="1" x14ac:dyDescent="0.3">
      <c r="A34" s="42" t="s">
        <v>113</v>
      </c>
      <c r="B34" s="43" t="s">
        <v>114</v>
      </c>
      <c r="C34" s="43" t="s">
        <v>115</v>
      </c>
      <c r="D34" s="44" t="s">
        <v>63</v>
      </c>
      <c r="E34" s="35" t="s">
        <v>1149</v>
      </c>
      <c r="F34" s="45" t="s">
        <v>780</v>
      </c>
      <c r="G34" s="44" t="s">
        <v>19</v>
      </c>
      <c r="H34" s="112" t="str">
        <f>"v_"&amp;B34</f>
        <v>v_pc.sas</v>
      </c>
      <c r="I34" s="35" t="s">
        <v>1148</v>
      </c>
      <c r="J34" s="43" t="s">
        <v>800</v>
      </c>
      <c r="K34" s="43"/>
    </row>
    <row r="35" spans="1:11" ht="13" customHeight="1" x14ac:dyDescent="0.3">
      <c r="A35" s="47" t="s">
        <v>116</v>
      </c>
      <c r="B35" s="43" t="s">
        <v>117</v>
      </c>
      <c r="C35" s="43" t="s">
        <v>118</v>
      </c>
      <c r="D35" s="44" t="s">
        <v>18</v>
      </c>
      <c r="E35" s="35" t="s">
        <v>1149</v>
      </c>
      <c r="F35" s="45" t="s">
        <v>780</v>
      </c>
      <c r="G35" s="44" t="s">
        <v>19</v>
      </c>
      <c r="H35" s="112" t="str">
        <f t="shared" ref="H35:H60" si="1">"v_"&amp;B35</f>
        <v>v_is.sas</v>
      </c>
      <c r="I35" s="35" t="s">
        <v>1149</v>
      </c>
      <c r="J35" s="43" t="s">
        <v>800</v>
      </c>
      <c r="K35" s="43"/>
    </row>
    <row r="36" spans="1:11" ht="14.5" customHeight="1" x14ac:dyDescent="0.3">
      <c r="A36" s="22" t="s">
        <v>119</v>
      </c>
      <c r="B36" s="43" t="s">
        <v>120</v>
      </c>
      <c r="C36" s="43" t="s">
        <v>121</v>
      </c>
      <c r="D36" s="20" t="s">
        <v>18</v>
      </c>
      <c r="E36" s="35" t="s">
        <v>1148</v>
      </c>
      <c r="F36" s="45" t="s">
        <v>780</v>
      </c>
      <c r="G36" s="20" t="s">
        <v>19</v>
      </c>
      <c r="H36" s="112" t="str">
        <f t="shared" si="1"/>
        <v>v_qs.sas</v>
      </c>
      <c r="I36" s="35" t="s">
        <v>1148</v>
      </c>
      <c r="J36" s="43" t="s">
        <v>800</v>
      </c>
      <c r="K36" s="43"/>
    </row>
    <row r="37" spans="1:11" ht="13" customHeight="1" x14ac:dyDescent="0.3">
      <c r="A37" s="29" t="s">
        <v>122</v>
      </c>
      <c r="B37" s="43" t="s">
        <v>801</v>
      </c>
      <c r="C37" s="43" t="s">
        <v>123</v>
      </c>
      <c r="D37" s="20" t="s">
        <v>63</v>
      </c>
      <c r="E37" s="35"/>
      <c r="F37" s="28"/>
      <c r="G37" s="20" t="s">
        <v>43</v>
      </c>
      <c r="H37" s="112" t="str">
        <f t="shared" si="1"/>
        <v>v_adae.sas</v>
      </c>
      <c r="I37" s="35"/>
      <c r="J37" s="43" t="s">
        <v>800</v>
      </c>
      <c r="K37" s="43"/>
    </row>
    <row r="38" spans="1:11" s="40" customFormat="1" ht="14.15" customHeight="1" x14ac:dyDescent="0.3">
      <c r="A38" s="67" t="s">
        <v>124</v>
      </c>
      <c r="B38" s="37" t="s">
        <v>802</v>
      </c>
      <c r="C38" s="37" t="s">
        <v>125</v>
      </c>
      <c r="D38" s="38" t="s">
        <v>18</v>
      </c>
      <c r="E38" s="39"/>
      <c r="F38" s="68"/>
      <c r="G38" s="38" t="s">
        <v>19</v>
      </c>
      <c r="H38" s="112" t="str">
        <f t="shared" si="1"/>
        <v>v_addv.sas</v>
      </c>
      <c r="I38" s="69"/>
      <c r="J38" s="37"/>
      <c r="K38" s="37"/>
    </row>
    <row r="39" spans="1:11" ht="13" customHeight="1" x14ac:dyDescent="0.3">
      <c r="A39" s="27" t="s">
        <v>126</v>
      </c>
      <c r="B39" s="43" t="s">
        <v>803</v>
      </c>
      <c r="C39" s="43" t="s">
        <v>127</v>
      </c>
      <c r="D39" s="20" t="s">
        <v>63</v>
      </c>
      <c r="E39" s="35"/>
      <c r="F39" s="45"/>
      <c r="G39" s="20" t="s">
        <v>18</v>
      </c>
      <c r="H39" s="112" t="str">
        <f t="shared" si="1"/>
        <v>v_adex.sas</v>
      </c>
      <c r="I39" s="35"/>
      <c r="J39" s="43" t="s">
        <v>800</v>
      </c>
      <c r="K39" s="43"/>
    </row>
    <row r="40" spans="1:11" ht="16.5" customHeight="1" x14ac:dyDescent="0.3">
      <c r="A40" s="23" t="s">
        <v>128</v>
      </c>
      <c r="B40" s="43" t="s">
        <v>804</v>
      </c>
      <c r="C40" s="43" t="s">
        <v>129</v>
      </c>
      <c r="D40" s="20" t="s">
        <v>63</v>
      </c>
      <c r="E40" s="35"/>
      <c r="F40" s="45"/>
      <c r="G40" s="20" t="s">
        <v>18</v>
      </c>
      <c r="H40" s="112" t="str">
        <f t="shared" si="1"/>
        <v>v_adexsum.sas</v>
      </c>
      <c r="I40" s="35"/>
      <c r="J40" s="34"/>
      <c r="K40" s="43"/>
    </row>
    <row r="41" spans="1:11" ht="13" customHeight="1" x14ac:dyDescent="0.3">
      <c r="A41" s="27" t="s">
        <v>130</v>
      </c>
      <c r="B41" s="43" t="s">
        <v>805</v>
      </c>
      <c r="C41" s="43" t="s">
        <v>131</v>
      </c>
      <c r="D41" s="20" t="s">
        <v>19</v>
      </c>
      <c r="E41" s="35"/>
      <c r="F41" s="28"/>
      <c r="G41" s="20" t="s">
        <v>43</v>
      </c>
      <c r="H41" s="112" t="str">
        <f t="shared" si="1"/>
        <v>v_adlb.sas</v>
      </c>
      <c r="I41" s="35"/>
      <c r="J41" s="43" t="s">
        <v>800</v>
      </c>
      <c r="K41" s="43"/>
    </row>
    <row r="42" spans="1:11" ht="16.5" customHeight="1" x14ac:dyDescent="0.3">
      <c r="A42" s="23" t="s">
        <v>132</v>
      </c>
      <c r="B42" s="43" t="s">
        <v>806</v>
      </c>
      <c r="C42" s="43" t="s">
        <v>133</v>
      </c>
      <c r="D42" s="20" t="s">
        <v>19</v>
      </c>
      <c r="E42" s="35"/>
      <c r="F42" s="28"/>
      <c r="G42" s="20" t="s">
        <v>67</v>
      </c>
      <c r="H42" s="112" t="str">
        <f t="shared" si="1"/>
        <v>v_adqs.sas</v>
      </c>
      <c r="I42" s="35"/>
      <c r="J42" s="43" t="s">
        <v>800</v>
      </c>
      <c r="K42" s="43"/>
    </row>
    <row r="43" spans="1:11" ht="16.5" customHeight="1" x14ac:dyDescent="0.3">
      <c r="A43" s="23" t="s">
        <v>134</v>
      </c>
      <c r="B43" s="43" t="s">
        <v>807</v>
      </c>
      <c r="C43" s="43" t="s">
        <v>135</v>
      </c>
      <c r="D43" s="20" t="s">
        <v>63</v>
      </c>
      <c r="E43" s="35"/>
      <c r="F43" s="45"/>
      <c r="G43" s="20" t="s">
        <v>43</v>
      </c>
      <c r="H43" s="112" t="str">
        <f t="shared" si="1"/>
        <v>v_adis.sas</v>
      </c>
      <c r="I43" s="35"/>
      <c r="J43" s="43" t="s">
        <v>800</v>
      </c>
      <c r="K43" s="43"/>
    </row>
    <row r="44" spans="1:11" ht="16.5" customHeight="1" x14ac:dyDescent="0.3">
      <c r="A44" s="23" t="s">
        <v>136</v>
      </c>
      <c r="B44" s="43" t="s">
        <v>808</v>
      </c>
      <c r="C44" s="43" t="s">
        <v>137</v>
      </c>
      <c r="D44" s="20" t="s">
        <v>19</v>
      </c>
      <c r="E44" s="35"/>
      <c r="F44" s="28"/>
      <c r="G44" s="20" t="s">
        <v>43</v>
      </c>
      <c r="H44" s="112" t="str">
        <f t="shared" si="1"/>
        <v>v_adissum.sas</v>
      </c>
      <c r="I44" s="35"/>
      <c r="J44" s="43" t="s">
        <v>800</v>
      </c>
      <c r="K44" s="43"/>
    </row>
    <row r="45" spans="1:11" ht="16.5" customHeight="1" x14ac:dyDescent="0.3">
      <c r="A45" s="23" t="s">
        <v>138</v>
      </c>
      <c r="B45" s="43" t="s">
        <v>809</v>
      </c>
      <c r="C45" s="43" t="s">
        <v>139</v>
      </c>
      <c r="D45" s="20" t="s">
        <v>63</v>
      </c>
      <c r="E45" s="35"/>
      <c r="F45" s="45"/>
      <c r="G45" s="20" t="s">
        <v>18</v>
      </c>
      <c r="H45" s="112" t="str">
        <f t="shared" si="1"/>
        <v>v_adpc.sas</v>
      </c>
      <c r="I45" s="35"/>
      <c r="J45" s="43" t="s">
        <v>800</v>
      </c>
      <c r="K45" s="43"/>
    </row>
    <row r="46" spans="1:11" ht="16.5" customHeight="1" x14ac:dyDescent="0.3">
      <c r="A46" s="26" t="s">
        <v>140</v>
      </c>
      <c r="B46" s="43" t="s">
        <v>810</v>
      </c>
      <c r="C46" s="43" t="s">
        <v>141</v>
      </c>
      <c r="D46" s="20" t="s">
        <v>63</v>
      </c>
      <c r="E46" s="35"/>
      <c r="F46" s="45"/>
      <c r="G46" s="20" t="s">
        <v>18</v>
      </c>
      <c r="H46" s="112" t="str">
        <f t="shared" si="1"/>
        <v>v_adrs.sas</v>
      </c>
      <c r="I46" s="35"/>
      <c r="J46" s="43" t="s">
        <v>800</v>
      </c>
      <c r="K46" s="43"/>
    </row>
    <row r="47" spans="1:11" ht="13" customHeight="1" x14ac:dyDescent="0.3">
      <c r="A47" s="27" t="s">
        <v>142</v>
      </c>
      <c r="B47" s="43" t="s">
        <v>811</v>
      </c>
      <c r="C47" s="43" t="s">
        <v>143</v>
      </c>
      <c r="D47" s="20" t="s">
        <v>19</v>
      </c>
      <c r="E47" s="35"/>
      <c r="F47" s="45"/>
      <c r="G47" s="20" t="s">
        <v>18</v>
      </c>
      <c r="H47" s="112" t="str">
        <f t="shared" si="1"/>
        <v>v_adsl.sas</v>
      </c>
      <c r="I47" s="35"/>
      <c r="J47" s="43" t="s">
        <v>800</v>
      </c>
      <c r="K47" s="43"/>
    </row>
    <row r="48" spans="1:11" s="64" customFormat="1" ht="16.5" customHeight="1" x14ac:dyDescent="0.3">
      <c r="A48" s="58" t="s">
        <v>144</v>
      </c>
      <c r="B48" s="59" t="s">
        <v>812</v>
      </c>
      <c r="C48" s="59" t="s">
        <v>145</v>
      </c>
      <c r="D48" s="60" t="s">
        <v>19</v>
      </c>
      <c r="E48" s="61"/>
      <c r="F48" s="62"/>
      <c r="G48" s="60" t="s">
        <v>18</v>
      </c>
      <c r="H48" s="112" t="str">
        <f t="shared" si="1"/>
        <v>v_adsubj.sas</v>
      </c>
      <c r="I48" s="63"/>
      <c r="J48" s="59"/>
      <c r="K48" s="59"/>
    </row>
    <row r="49" spans="1:11" ht="13" customHeight="1" x14ac:dyDescent="0.3">
      <c r="A49" s="27" t="s">
        <v>146</v>
      </c>
      <c r="B49" s="43" t="s">
        <v>813</v>
      </c>
      <c r="C49" s="43" t="s">
        <v>147</v>
      </c>
      <c r="D49" s="20" t="s">
        <v>19</v>
      </c>
      <c r="E49" s="35"/>
      <c r="F49" s="45"/>
      <c r="G49" s="20" t="s">
        <v>18</v>
      </c>
      <c r="H49" s="112" t="str">
        <f t="shared" si="1"/>
        <v>v_adslrs.sas</v>
      </c>
      <c r="I49" s="35"/>
      <c r="J49" s="43" t="s">
        <v>800</v>
      </c>
      <c r="K49" s="43"/>
    </row>
    <row r="50" spans="1:11" ht="16.5" customHeight="1" x14ac:dyDescent="0.3">
      <c r="A50" s="26" t="s">
        <v>148</v>
      </c>
      <c r="B50" s="43" t="s">
        <v>814</v>
      </c>
      <c r="C50" s="43" t="s">
        <v>149</v>
      </c>
      <c r="D50" s="20" t="s">
        <v>63</v>
      </c>
      <c r="E50" s="35"/>
      <c r="F50" s="45"/>
      <c r="G50" s="20" t="s">
        <v>18</v>
      </c>
      <c r="H50" s="112" t="str">
        <f t="shared" si="1"/>
        <v>v_adtr.sas</v>
      </c>
      <c r="I50" s="35"/>
      <c r="J50" s="43" t="s">
        <v>800</v>
      </c>
      <c r="K50" s="43"/>
    </row>
    <row r="51" spans="1:11" ht="13" customHeight="1" x14ac:dyDescent="0.3">
      <c r="A51" s="65" t="s">
        <v>150</v>
      </c>
      <c r="B51" s="43" t="s">
        <v>815</v>
      </c>
      <c r="C51" s="43" t="s">
        <v>151</v>
      </c>
      <c r="D51" s="20" t="s">
        <v>43</v>
      </c>
      <c r="E51" s="35"/>
      <c r="F51" s="45"/>
      <c r="G51" s="20" t="s">
        <v>18</v>
      </c>
      <c r="H51" s="112" t="str">
        <f t="shared" si="1"/>
        <v>v_adtte.sas</v>
      </c>
      <c r="I51" s="35"/>
      <c r="J51" s="43" t="s">
        <v>800</v>
      </c>
      <c r="K51" s="43"/>
    </row>
    <row r="52" spans="1:11" ht="14.5" customHeight="1" x14ac:dyDescent="0.3">
      <c r="A52" s="66" t="s">
        <v>152</v>
      </c>
      <c r="B52" s="43" t="s">
        <v>816</v>
      </c>
      <c r="C52" s="43" t="s">
        <v>153</v>
      </c>
      <c r="D52" s="20" t="s">
        <v>19</v>
      </c>
      <c r="E52" s="35"/>
      <c r="F52" s="45"/>
      <c r="G52" s="20" t="s">
        <v>18</v>
      </c>
      <c r="H52" s="112" t="str">
        <f t="shared" si="1"/>
        <v>v_admh.sas</v>
      </c>
      <c r="I52" s="35"/>
      <c r="J52" s="43" t="s">
        <v>800</v>
      </c>
      <c r="K52" s="43"/>
    </row>
    <row r="53" spans="1:11" ht="14.5" customHeight="1" x14ac:dyDescent="0.3">
      <c r="A53" s="66" t="s">
        <v>154</v>
      </c>
      <c r="B53" s="43" t="s">
        <v>817</v>
      </c>
      <c r="C53" s="43" t="s">
        <v>155</v>
      </c>
      <c r="D53" s="20" t="s">
        <v>18</v>
      </c>
      <c r="E53" s="35"/>
      <c r="F53" s="43"/>
      <c r="G53" s="20" t="s">
        <v>43</v>
      </c>
      <c r="H53" s="112" t="str">
        <f t="shared" si="1"/>
        <v>v_adpr.sas</v>
      </c>
      <c r="I53" s="35"/>
      <c r="J53" s="43" t="s">
        <v>800</v>
      </c>
      <c r="K53" s="43"/>
    </row>
    <row r="54" spans="1:11" ht="14.5" customHeight="1" x14ac:dyDescent="0.3">
      <c r="A54" s="66" t="s">
        <v>156</v>
      </c>
      <c r="B54" s="43" t="s">
        <v>818</v>
      </c>
      <c r="C54" s="43" t="s">
        <v>157</v>
      </c>
      <c r="D54" s="20" t="s">
        <v>18</v>
      </c>
      <c r="E54" s="35"/>
      <c r="F54" s="43"/>
      <c r="G54" s="20" t="s">
        <v>43</v>
      </c>
      <c r="H54" s="112" t="str">
        <f t="shared" si="1"/>
        <v>v_adcm.sas</v>
      </c>
      <c r="I54" s="35"/>
      <c r="J54" s="43" t="s">
        <v>800</v>
      </c>
      <c r="K54" s="43"/>
    </row>
    <row r="55" spans="1:11" ht="14.5" customHeight="1" x14ac:dyDescent="0.3">
      <c r="A55" s="66" t="s">
        <v>158</v>
      </c>
      <c r="B55" s="43" t="s">
        <v>819</v>
      </c>
      <c r="C55" s="43" t="s">
        <v>159</v>
      </c>
      <c r="D55" s="20" t="s">
        <v>19</v>
      </c>
      <c r="E55" s="35"/>
      <c r="F55" s="43"/>
      <c r="G55" s="20" t="s">
        <v>43</v>
      </c>
      <c r="H55" s="112" t="str">
        <f t="shared" si="1"/>
        <v>v_advs.sas</v>
      </c>
      <c r="I55" s="35"/>
      <c r="J55" s="43" t="s">
        <v>800</v>
      </c>
      <c r="K55" s="43"/>
    </row>
    <row r="56" spans="1:11" ht="13" x14ac:dyDescent="0.3">
      <c r="A56" s="70" t="s">
        <v>160</v>
      </c>
      <c r="B56" s="43" t="s">
        <v>820</v>
      </c>
      <c r="C56" s="43" t="s">
        <v>161</v>
      </c>
      <c r="D56" s="20" t="s">
        <v>67</v>
      </c>
      <c r="E56" s="35"/>
      <c r="F56" s="43"/>
      <c r="G56" s="20" t="s">
        <v>18</v>
      </c>
      <c r="H56" s="112" t="str">
        <f t="shared" si="1"/>
        <v>v_adaehorm.sas</v>
      </c>
      <c r="I56" s="35"/>
      <c r="J56" s="43" t="s">
        <v>800</v>
      </c>
      <c r="K56" s="43"/>
    </row>
    <row r="57" spans="1:11" ht="14.5" customHeight="1" x14ac:dyDescent="0.3">
      <c r="A57" s="71" t="s">
        <v>162</v>
      </c>
      <c r="B57" s="43" t="s">
        <v>821</v>
      </c>
      <c r="C57" s="43" t="s">
        <v>163</v>
      </c>
      <c r="D57" s="20" t="s">
        <v>67</v>
      </c>
      <c r="E57" s="35"/>
      <c r="F57" s="43"/>
      <c r="G57" s="20" t="s">
        <v>43</v>
      </c>
      <c r="H57" s="112" t="str">
        <f t="shared" si="1"/>
        <v>v_adtteqs.sas</v>
      </c>
      <c r="I57" s="35"/>
      <c r="J57" s="43" t="s">
        <v>800</v>
      </c>
      <c r="K57" s="43"/>
    </row>
    <row r="58" spans="1:11" ht="14.5" customHeight="1" x14ac:dyDescent="0.3">
      <c r="A58" s="92" t="s">
        <v>164</v>
      </c>
      <c r="B58" s="46" t="s">
        <v>822</v>
      </c>
      <c r="C58" s="46" t="s">
        <v>165</v>
      </c>
      <c r="D58" s="93" t="s">
        <v>18</v>
      </c>
      <c r="E58" s="35"/>
      <c r="F58" s="43"/>
      <c r="G58" s="20" t="s">
        <v>43</v>
      </c>
      <c r="H58" s="112" t="str">
        <f t="shared" si="1"/>
        <v>v_adeg.sas</v>
      </c>
      <c r="I58" s="35"/>
      <c r="J58" s="43" t="s">
        <v>800</v>
      </c>
    </row>
    <row r="59" spans="1:11" s="40" customFormat="1" ht="13" customHeight="1" x14ac:dyDescent="0.3">
      <c r="A59" s="113" t="s">
        <v>826</v>
      </c>
      <c r="B59" s="37" t="s">
        <v>823</v>
      </c>
      <c r="C59" s="37" t="s">
        <v>824</v>
      </c>
      <c r="D59" s="38" t="s">
        <v>825</v>
      </c>
      <c r="E59" s="39"/>
      <c r="F59" s="37"/>
      <c r="G59" s="38" t="s">
        <v>19</v>
      </c>
      <c r="H59" s="37" t="str">
        <f t="shared" si="1"/>
        <v>v_adcv.sas</v>
      </c>
      <c r="I59" s="39"/>
      <c r="J59" s="37"/>
      <c r="K59" s="37"/>
    </row>
    <row r="60" spans="1:11" ht="14.5" x14ac:dyDescent="0.3">
      <c r="A60" s="92" t="s">
        <v>1275</v>
      </c>
      <c r="B60" s="46" t="s">
        <v>1276</v>
      </c>
      <c r="C60" s="46" t="s">
        <v>1277</v>
      </c>
      <c r="D60" s="93" t="s">
        <v>1278</v>
      </c>
      <c r="G60" s="20" t="s">
        <v>19</v>
      </c>
      <c r="H60" s="46" t="str">
        <f t="shared" si="1"/>
        <v>v_adpe.sas</v>
      </c>
      <c r="J60" s="46" t="s">
        <v>1279</v>
      </c>
    </row>
  </sheetData>
  <autoFilter ref="A1:K59" xr:uid="{F59864D9-0539-4CC1-85FC-2BC36BF07A9A}"/>
  <phoneticPr fontId="46" type="noConversion"/>
  <dataValidations count="2">
    <dataValidation type="list" allowBlank="1" showInputMessage="1" showErrorMessage="1" sqref="F2:F1048576" xr:uid="{00000000-0002-0000-0100-000000000000}">
      <formula1>"Ready,Pending"</formula1>
    </dataValidation>
    <dataValidation type="list" allowBlank="1" showInputMessage="1" showErrorMessage="1" sqref="J2:J1048576" xr:uid="{00000000-0002-0000-0100-000001000000}">
      <formula1>"Pass,Pass with Data Issue,Pending"</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1"/>
  <sheetViews>
    <sheetView tabSelected="1" topLeftCell="C1" zoomScale="85" zoomScaleNormal="85" workbookViewId="0">
      <pane xSplit="2" ySplit="1" topLeftCell="T14" activePane="bottomRight" state="frozen"/>
      <selection activeCell="C1" sqref="C1"/>
      <selection pane="topRight" activeCell="E1" sqref="E1"/>
      <selection pane="bottomLeft" activeCell="C2" sqref="C2"/>
      <selection pane="bottomRight" activeCell="H42" sqref="H42"/>
    </sheetView>
  </sheetViews>
  <sheetFormatPr defaultColWidth="9" defaultRowHeight="14" x14ac:dyDescent="0.3"/>
  <cols>
    <col min="1" max="1" width="13" style="75" customWidth="1"/>
    <col min="2" max="2" width="17.58203125" style="75" customWidth="1"/>
    <col min="3" max="3" width="18.83203125" style="75" customWidth="1"/>
    <col min="4" max="4" width="135.4140625" style="155" customWidth="1"/>
    <col min="5" max="5" width="14.75" style="11" customWidth="1"/>
    <col min="6" max="6" width="11.25" style="11" customWidth="1"/>
    <col min="7" max="7" width="48.58203125" style="75" customWidth="1"/>
    <col min="8" max="8" width="26.58203125" style="75" customWidth="1"/>
    <col min="9" max="9" width="13.75" style="75" bestFit="1" customWidth="1"/>
    <col min="10" max="10" width="13.08203125" style="75" bestFit="1" customWidth="1"/>
    <col min="11" max="11" width="8.5" style="75" bestFit="1" customWidth="1"/>
    <col min="12" max="12" width="13.75" style="75" bestFit="1" customWidth="1"/>
    <col min="13" max="13" width="28.25" style="75" bestFit="1" customWidth="1"/>
    <col min="14" max="14" width="20.58203125" style="75" bestFit="1" customWidth="1"/>
    <col min="15" max="15" width="11.33203125" style="75" bestFit="1" customWidth="1"/>
    <col min="16" max="16" width="38.75" style="75" customWidth="1"/>
    <col min="17" max="17" width="69.75" style="75" customWidth="1"/>
    <col min="18" max="18" width="33.75" style="77" bestFit="1" customWidth="1"/>
    <col min="19" max="19" width="98" style="77" customWidth="1"/>
    <col min="20" max="20" width="92.58203125" style="77" customWidth="1"/>
    <col min="21" max="21" width="19.33203125" style="75" customWidth="1"/>
    <col min="22" max="16384" width="9" style="75"/>
  </cols>
  <sheetData>
    <row r="1" spans="1:21" s="9" customFormat="1" ht="26.15" customHeight="1" x14ac:dyDescent="0.3">
      <c r="A1" s="9" t="s">
        <v>166</v>
      </c>
      <c r="B1" s="9" t="s">
        <v>167</v>
      </c>
      <c r="C1" s="9" t="s">
        <v>168</v>
      </c>
      <c r="D1" s="148" t="s">
        <v>169</v>
      </c>
      <c r="E1" s="131" t="s">
        <v>1137</v>
      </c>
      <c r="F1" s="131" t="s">
        <v>1136</v>
      </c>
      <c r="G1" s="9" t="s">
        <v>170</v>
      </c>
      <c r="H1" s="9" t="s">
        <v>5</v>
      </c>
      <c r="I1" s="9" t="s">
        <v>656</v>
      </c>
      <c r="J1" s="9" t="s">
        <v>8</v>
      </c>
      <c r="K1" s="9" t="s">
        <v>9</v>
      </c>
      <c r="L1" s="9" t="s">
        <v>10</v>
      </c>
      <c r="M1" s="9" t="s">
        <v>11</v>
      </c>
      <c r="N1" s="9" t="s">
        <v>12</v>
      </c>
      <c r="O1" s="9" t="s">
        <v>13</v>
      </c>
      <c r="P1" s="9" t="s">
        <v>14</v>
      </c>
      <c r="Q1" s="9" t="s">
        <v>171</v>
      </c>
      <c r="R1" s="126" t="s">
        <v>902</v>
      </c>
      <c r="S1" s="127" t="s">
        <v>903</v>
      </c>
      <c r="T1" s="127" t="s">
        <v>904</v>
      </c>
      <c r="U1" s="9" t="s">
        <v>1128</v>
      </c>
    </row>
    <row r="2" spans="1:21" ht="14.15" customHeight="1" x14ac:dyDescent="0.3">
      <c r="A2" s="74" t="s">
        <v>172</v>
      </c>
      <c r="B2" s="14"/>
      <c r="C2" s="116" t="s">
        <v>900</v>
      </c>
      <c r="D2" s="108" t="s">
        <v>173</v>
      </c>
      <c r="E2" s="122" t="s">
        <v>898</v>
      </c>
      <c r="F2" s="132" t="s">
        <v>1135</v>
      </c>
      <c r="G2" s="72" t="s">
        <v>174</v>
      </c>
      <c r="H2" s="72" t="s">
        <v>175</v>
      </c>
      <c r="I2" t="s">
        <v>67</v>
      </c>
      <c r="J2" s="73" t="s">
        <v>1168</v>
      </c>
      <c r="K2" s="79"/>
      <c r="L2" t="s">
        <v>19</v>
      </c>
      <c r="M2" s="82" t="s">
        <v>176</v>
      </c>
      <c r="N2" s="73" t="s">
        <v>1165</v>
      </c>
      <c r="O2" s="14" t="s">
        <v>800</v>
      </c>
      <c r="R2" s="77" t="s">
        <v>905</v>
      </c>
      <c r="S2" s="128" t="str">
        <f t="shared" ref="S2:S34" si="0">HYPERLINK(_xlfn.CONCAT("Z:\projects\onc-prj-shr1210\sub-csr\prt-336\09_txt\",R2))</f>
        <v>Z:\projects\onc-prj-shr1210\sub-csr\prt-336\09_txt\t_adsl_dsp.txt</v>
      </c>
      <c r="T2" s="128" t="str">
        <f t="shared" ref="T2:T34" si="1">HYPERLINK(_xlfn.CONCAT("Z:\projects\onc-prj-shr1210\sub-csr\prt-336\11_output\",G2))</f>
        <v>Z:\projects\onc-prj-shr1210\sub-csr\prt-336\11_output\t14-01-001-001-adsl-dsp.rtf</v>
      </c>
    </row>
    <row r="3" spans="1:21" s="108" customFormat="1" ht="14.15" customHeight="1" x14ac:dyDescent="0.3">
      <c r="A3" s="74" t="s">
        <v>172</v>
      </c>
      <c r="B3" s="14"/>
      <c r="C3" s="116" t="s">
        <v>901</v>
      </c>
      <c r="D3" s="108" t="s">
        <v>177</v>
      </c>
      <c r="E3" s="122" t="s">
        <v>898</v>
      </c>
      <c r="F3" s="132" t="s">
        <v>1135</v>
      </c>
      <c r="G3" s="72" t="s">
        <v>178</v>
      </c>
      <c r="H3" s="72" t="s">
        <v>179</v>
      </c>
      <c r="I3" s="77" t="s">
        <v>67</v>
      </c>
      <c r="J3" s="73" t="s">
        <v>1168</v>
      </c>
      <c r="K3" s="79"/>
      <c r="L3" s="77" t="s">
        <v>19</v>
      </c>
      <c r="M3" s="82" t="s">
        <v>180</v>
      </c>
      <c r="N3" s="73" t="s">
        <v>1165</v>
      </c>
      <c r="O3" s="14" t="s">
        <v>800</v>
      </c>
      <c r="P3" s="75"/>
      <c r="Q3" s="75"/>
      <c r="R3" s="77" t="s">
        <v>906</v>
      </c>
      <c r="S3" s="128" t="str">
        <f t="shared" si="0"/>
        <v>Z:\projects\onc-prj-shr1210\sub-csr\prt-336\09_txt\t_adsl_eos.txt</v>
      </c>
      <c r="T3" s="128" t="str">
        <f t="shared" si="1"/>
        <v>Z:\projects\onc-prj-shr1210\sub-csr\prt-336\11_output\t14-01-001-002-adsl-eos.rtf</v>
      </c>
      <c r="U3" s="75"/>
    </row>
    <row r="4" spans="1:21" ht="14.15" customHeight="1" x14ac:dyDescent="0.3">
      <c r="A4" s="74" t="s">
        <v>172</v>
      </c>
      <c r="C4" s="116" t="s">
        <v>181</v>
      </c>
      <c r="D4" s="108" t="s">
        <v>182</v>
      </c>
      <c r="E4" s="122" t="s">
        <v>898</v>
      </c>
      <c r="F4" s="132" t="s">
        <v>1135</v>
      </c>
      <c r="G4" s="72" t="s">
        <v>183</v>
      </c>
      <c r="H4" s="72" t="s">
        <v>184</v>
      </c>
      <c r="I4" t="s">
        <v>67</v>
      </c>
      <c r="J4" s="73" t="s">
        <v>1168</v>
      </c>
      <c r="K4" s="79"/>
      <c r="L4" t="s">
        <v>19</v>
      </c>
      <c r="M4" s="82" t="s">
        <v>185</v>
      </c>
      <c r="N4" s="73" t="s">
        <v>1165</v>
      </c>
      <c r="O4" s="14" t="s">
        <v>800</v>
      </c>
      <c r="R4" s="77" t="s">
        <v>907</v>
      </c>
      <c r="S4" s="128" t="str">
        <f t="shared" si="0"/>
        <v>Z:\projects\onc-prj-shr1210\sub-csr\prt-336\09_txt\t_adsl_eot.txt</v>
      </c>
      <c r="T4" s="128" t="str">
        <f t="shared" si="1"/>
        <v>Z:\projects\onc-prj-shr1210\sub-csr\prt-336\11_output\t14-01-001-003-adsl-eot.rtf</v>
      </c>
    </row>
    <row r="5" spans="1:21" ht="14.15" customHeight="1" x14ac:dyDescent="0.3">
      <c r="A5" s="74" t="s">
        <v>172</v>
      </c>
      <c r="C5" s="116" t="s">
        <v>186</v>
      </c>
      <c r="D5" s="108" t="s">
        <v>187</v>
      </c>
      <c r="E5" s="122" t="s">
        <v>898</v>
      </c>
      <c r="F5" s="122"/>
      <c r="G5" s="72" t="s">
        <v>188</v>
      </c>
      <c r="H5" s="72" t="s">
        <v>189</v>
      </c>
      <c r="I5" t="s">
        <v>67</v>
      </c>
      <c r="J5" s="73" t="s">
        <v>1168</v>
      </c>
      <c r="K5" s="79"/>
      <c r="L5" t="s">
        <v>19</v>
      </c>
      <c r="M5" s="82" t="s">
        <v>190</v>
      </c>
      <c r="N5" s="73" t="s">
        <v>1165</v>
      </c>
      <c r="O5" s="14" t="s">
        <v>800</v>
      </c>
      <c r="R5" s="77" t="s">
        <v>908</v>
      </c>
      <c r="S5" s="128" t="str">
        <f t="shared" si="0"/>
        <v>Z:\projects\onc-prj-shr1210\sub-csr\prt-336\09_txt\t_adsl_scrn.txt</v>
      </c>
      <c r="T5" s="128" t="str">
        <f t="shared" si="1"/>
        <v>Z:\projects\onc-prj-shr1210\sub-csr\prt-336\11_output\t14-01-001-004-adsl-scrn.rtf</v>
      </c>
    </row>
    <row r="6" spans="1:21" ht="14.15" customHeight="1" x14ac:dyDescent="0.3">
      <c r="A6" s="108" t="s">
        <v>172</v>
      </c>
      <c r="B6" s="108"/>
      <c r="C6" s="117" t="s">
        <v>191</v>
      </c>
      <c r="D6" s="108" t="s">
        <v>192</v>
      </c>
      <c r="E6" s="123" t="s">
        <v>898</v>
      </c>
      <c r="F6" s="123"/>
      <c r="G6" s="108" t="s">
        <v>875</v>
      </c>
      <c r="H6" s="120" t="s">
        <v>887</v>
      </c>
      <c r="I6" s="108" t="s">
        <v>67</v>
      </c>
      <c r="J6" s="73" t="s">
        <v>1168</v>
      </c>
      <c r="K6" s="108"/>
      <c r="L6" s="108" t="s">
        <v>19</v>
      </c>
      <c r="M6" s="121" t="s">
        <v>895</v>
      </c>
      <c r="N6" s="73" t="s">
        <v>1165</v>
      </c>
      <c r="O6" s="14" t="s">
        <v>800</v>
      </c>
      <c r="P6" s="108"/>
      <c r="Q6" s="108"/>
      <c r="R6" s="77" t="s">
        <v>909</v>
      </c>
      <c r="S6" s="128" t="str">
        <f t="shared" si="0"/>
        <v>Z:\projects\onc-prj-shr1210\sub-csr\prt-336\09_txt\t_addv_sum.txt</v>
      </c>
      <c r="T6" s="128" t="str">
        <f t="shared" si="1"/>
        <v>Z:\projects\onc-prj-shr1210\sub-csr\prt-336\11_output\t14-01-001-005-addv-sum.rtf</v>
      </c>
      <c r="U6" s="108"/>
    </row>
    <row r="7" spans="1:21" ht="14.15" customHeight="1" x14ac:dyDescent="0.3">
      <c r="A7" s="74" t="s">
        <v>172</v>
      </c>
      <c r="C7" s="116" t="s">
        <v>193</v>
      </c>
      <c r="D7" s="108" t="s">
        <v>194</v>
      </c>
      <c r="E7" s="122" t="s">
        <v>898</v>
      </c>
      <c r="F7" s="132" t="s">
        <v>1135</v>
      </c>
      <c r="G7" s="72" t="s">
        <v>195</v>
      </c>
      <c r="H7" s="72" t="s">
        <v>196</v>
      </c>
      <c r="I7" t="s">
        <v>67</v>
      </c>
      <c r="J7" s="73" t="s">
        <v>1168</v>
      </c>
      <c r="K7" s="79"/>
      <c r="L7" t="s">
        <v>19</v>
      </c>
      <c r="M7" s="82" t="s">
        <v>197</v>
      </c>
      <c r="N7" s="73" t="s">
        <v>1165</v>
      </c>
      <c r="O7" s="14" t="s">
        <v>800</v>
      </c>
      <c r="R7" s="77" t="s">
        <v>910</v>
      </c>
      <c r="S7" s="128" t="str">
        <f t="shared" si="0"/>
        <v>Z:\projects\onc-prj-shr1210\sub-csr\prt-336\09_txt\t_adsl_base.txt</v>
      </c>
      <c r="T7" s="128" t="str">
        <f t="shared" si="1"/>
        <v>Z:\projects\onc-prj-shr1210\sub-csr\prt-336\11_output\t14-01-002-001-adsl-base.rtf</v>
      </c>
    </row>
    <row r="8" spans="1:21" ht="14.15" customHeight="1" x14ac:dyDescent="0.3">
      <c r="A8" s="74" t="s">
        <v>172</v>
      </c>
      <c r="C8" s="116" t="s">
        <v>198</v>
      </c>
      <c r="D8" s="108" t="s">
        <v>199</v>
      </c>
      <c r="E8" s="122" t="s">
        <v>898</v>
      </c>
      <c r="F8" s="132" t="s">
        <v>1135</v>
      </c>
      <c r="G8" s="72" t="s">
        <v>200</v>
      </c>
      <c r="H8" s="72" t="s">
        <v>201</v>
      </c>
      <c r="I8" t="s">
        <v>67</v>
      </c>
      <c r="J8" s="73" t="s">
        <v>1168</v>
      </c>
      <c r="K8" s="79"/>
      <c r="L8" t="s">
        <v>19</v>
      </c>
      <c r="M8" s="72" t="s">
        <v>693</v>
      </c>
      <c r="N8" s="73" t="s">
        <v>1165</v>
      </c>
      <c r="O8" s="14" t="s">
        <v>800</v>
      </c>
      <c r="R8" s="77" t="s">
        <v>911</v>
      </c>
      <c r="S8" s="128" t="str">
        <f t="shared" si="0"/>
        <v>Z:\projects\onc-prj-shr1210\sub-csr\prt-336\09_txt\t_admh_tumor.txt</v>
      </c>
      <c r="T8" s="128" t="str">
        <f t="shared" si="1"/>
        <v>Z:\projects\onc-prj-shr1210\sub-csr\prt-336\11_output\t14-01-002-002-admh-tumor.rtf</v>
      </c>
    </row>
    <row r="9" spans="1:21" ht="14.15" customHeight="1" x14ac:dyDescent="0.3">
      <c r="A9" s="74" t="s">
        <v>172</v>
      </c>
      <c r="C9" s="116" t="s">
        <v>202</v>
      </c>
      <c r="D9" s="108" t="s">
        <v>1162</v>
      </c>
      <c r="E9" s="76"/>
      <c r="F9" s="76"/>
      <c r="G9" s="72" t="s">
        <v>203</v>
      </c>
      <c r="H9" s="72" t="s">
        <v>204</v>
      </c>
      <c r="I9" t="s">
        <v>67</v>
      </c>
      <c r="J9" s="73" t="s">
        <v>1168</v>
      </c>
      <c r="K9" s="79"/>
      <c r="L9" t="s">
        <v>19</v>
      </c>
      <c r="M9" s="75" t="s">
        <v>857</v>
      </c>
      <c r="N9" s="73" t="s">
        <v>1165</v>
      </c>
      <c r="O9" s="14" t="s">
        <v>800</v>
      </c>
      <c r="R9" s="77" t="s">
        <v>912</v>
      </c>
      <c r="S9" s="128" t="str">
        <f t="shared" si="0"/>
        <v>Z:\projects\onc-prj-shr1210\sub-csr\prt-336\09_txt\t_admh_sum.txt</v>
      </c>
      <c r="T9" s="128" t="str">
        <f t="shared" si="1"/>
        <v>Z:\projects\onc-prj-shr1210\sub-csr\prt-336\11_output\t14-01-002-003-admh-sum.rtf</v>
      </c>
    </row>
    <row r="10" spans="1:21" ht="14.15" customHeight="1" x14ac:dyDescent="0.3">
      <c r="A10" s="74" t="s">
        <v>172</v>
      </c>
      <c r="C10" s="116" t="s">
        <v>205</v>
      </c>
      <c r="D10" s="108" t="s">
        <v>206</v>
      </c>
      <c r="E10" s="76"/>
      <c r="F10" s="76"/>
      <c r="G10" s="72" t="s">
        <v>207</v>
      </c>
      <c r="H10" s="72" t="s">
        <v>208</v>
      </c>
      <c r="I10" t="s">
        <v>67</v>
      </c>
      <c r="J10" s="73" t="s">
        <v>1168</v>
      </c>
      <c r="K10" s="79"/>
      <c r="L10" t="s">
        <v>19</v>
      </c>
      <c r="M10" s="75" t="s">
        <v>857</v>
      </c>
      <c r="N10" s="73" t="s">
        <v>1165</v>
      </c>
      <c r="O10" s="14" t="s">
        <v>800</v>
      </c>
      <c r="R10" s="77" t="s">
        <v>913</v>
      </c>
      <c r="S10" s="128" t="str">
        <f t="shared" si="0"/>
        <v>Z:\projects\onc-prj-shr1210\sub-csr\prt-336\09_txt\t_adcm_atcpt1.txt</v>
      </c>
      <c r="T10" s="128" t="str">
        <f t="shared" si="1"/>
        <v>Z:\projects\onc-prj-shr1210\sub-csr\prt-336\11_output\t14-01-002-004-001-adcm-atcpt1.rtf</v>
      </c>
    </row>
    <row r="11" spans="1:21" ht="14.15" customHeight="1" x14ac:dyDescent="0.3">
      <c r="A11" s="74" t="s">
        <v>172</v>
      </c>
      <c r="C11" s="116" t="s">
        <v>209</v>
      </c>
      <c r="D11" s="108" t="s">
        <v>210</v>
      </c>
      <c r="E11" s="76"/>
      <c r="F11" s="76"/>
      <c r="G11" s="84" t="s">
        <v>211</v>
      </c>
      <c r="H11" s="84" t="s">
        <v>208</v>
      </c>
      <c r="I11" t="s">
        <v>67</v>
      </c>
      <c r="J11" s="73" t="s">
        <v>1168</v>
      </c>
      <c r="K11" s="79"/>
      <c r="L11" t="s">
        <v>19</v>
      </c>
      <c r="M11" s="75" t="s">
        <v>857</v>
      </c>
      <c r="N11" s="73" t="s">
        <v>1165</v>
      </c>
      <c r="O11" s="14" t="s">
        <v>800</v>
      </c>
      <c r="R11" s="77" t="s">
        <v>914</v>
      </c>
      <c r="S11" s="128" t="str">
        <f t="shared" si="0"/>
        <v>Z:\projects\onc-prj-shr1210\sub-csr\prt-336\09_txt\t_adcm_atcpt2.txt</v>
      </c>
      <c r="T11" s="128" t="str">
        <f t="shared" si="1"/>
        <v>Z:\projects\onc-prj-shr1210\sub-csr\prt-336\11_output\t14-01-002-004-002-adcm-atcpt2.rtf</v>
      </c>
    </row>
    <row r="12" spans="1:21" ht="14.15" customHeight="1" x14ac:dyDescent="0.3">
      <c r="A12" s="74" t="s">
        <v>172</v>
      </c>
      <c r="C12" s="116" t="s">
        <v>212</v>
      </c>
      <c r="D12" s="108" t="s">
        <v>213</v>
      </c>
      <c r="E12" s="122" t="s">
        <v>898</v>
      </c>
      <c r="F12" s="132" t="s">
        <v>1135</v>
      </c>
      <c r="G12" s="84" t="s">
        <v>214</v>
      </c>
      <c r="H12" s="84" t="s">
        <v>215</v>
      </c>
      <c r="I12" t="s">
        <v>67</v>
      </c>
      <c r="J12" s="73" t="s">
        <v>1168</v>
      </c>
      <c r="K12" s="79"/>
      <c r="L12" t="s">
        <v>19</v>
      </c>
      <c r="M12" s="84" t="s">
        <v>694</v>
      </c>
      <c r="N12" s="73" t="s">
        <v>1165</v>
      </c>
      <c r="O12" s="14" t="s">
        <v>800</v>
      </c>
      <c r="R12" s="77" t="s">
        <v>915</v>
      </c>
      <c r="S12" s="128" t="str">
        <f t="shared" si="0"/>
        <v>Z:\projects\onc-prj-shr1210\sub-csr\prt-336\09_txt\t_adpr_tuhis.txt</v>
      </c>
      <c r="T12" s="128" t="str">
        <f t="shared" si="1"/>
        <v>Z:\projects\onc-prj-shr1210\sub-csr\prt-336\11_output\t14-01-002-004-003-adpr-tuhis.rtf</v>
      </c>
    </row>
    <row r="13" spans="1:21" ht="14.15" customHeight="1" x14ac:dyDescent="0.3">
      <c r="A13" s="74" t="s">
        <v>172</v>
      </c>
      <c r="C13" s="116" t="s">
        <v>216</v>
      </c>
      <c r="D13" s="108" t="s">
        <v>217</v>
      </c>
      <c r="E13" s="122" t="s">
        <v>898</v>
      </c>
      <c r="F13" s="132" t="s">
        <v>1135</v>
      </c>
      <c r="G13" s="84" t="s">
        <v>218</v>
      </c>
      <c r="H13" s="84" t="s">
        <v>219</v>
      </c>
      <c r="I13" t="s">
        <v>67</v>
      </c>
      <c r="J13" s="73" t="s">
        <v>1168</v>
      </c>
      <c r="K13" s="79"/>
      <c r="L13" s="77" t="s">
        <v>19</v>
      </c>
      <c r="M13" s="75" t="s">
        <v>688</v>
      </c>
      <c r="N13" s="73" t="s">
        <v>1165</v>
      </c>
      <c r="O13" s="14" t="s">
        <v>800</v>
      </c>
      <c r="R13" s="77" t="s">
        <v>916</v>
      </c>
      <c r="S13" s="128" t="str">
        <f t="shared" si="0"/>
        <v>Z:\projects\onc-prj-shr1210\sub-csr\prt-336\09_txt\t_antifu.txt</v>
      </c>
      <c r="T13" s="128" t="str">
        <f t="shared" si="1"/>
        <v>Z:\projects\onc-prj-shr1210\sub-csr\prt-336\11_output\t14-01-002-004-004-antifu.rtf</v>
      </c>
    </row>
    <row r="14" spans="1:21" ht="14.15" customHeight="1" x14ac:dyDescent="0.3">
      <c r="A14" s="74" t="s">
        <v>172</v>
      </c>
      <c r="C14" s="116" t="s">
        <v>220</v>
      </c>
      <c r="D14" s="108" t="s">
        <v>221</v>
      </c>
      <c r="E14" s="122" t="s">
        <v>898</v>
      </c>
      <c r="F14" s="122"/>
      <c r="G14" s="84" t="s">
        <v>222</v>
      </c>
      <c r="H14" s="84" t="s">
        <v>223</v>
      </c>
      <c r="I14" t="s">
        <v>67</v>
      </c>
      <c r="J14" s="73" t="s">
        <v>1168</v>
      </c>
      <c r="K14" s="79"/>
      <c r="L14" s="77" t="s">
        <v>19</v>
      </c>
      <c r="M14" s="75" t="s">
        <v>857</v>
      </c>
      <c r="N14" s="73" t="s">
        <v>1165</v>
      </c>
      <c r="O14" s="14" t="s">
        <v>800</v>
      </c>
      <c r="P14" s="98"/>
      <c r="R14" s="77" t="s">
        <v>917</v>
      </c>
      <c r="S14" s="128" t="str">
        <f t="shared" si="0"/>
        <v>Z:\projects\onc-prj-shr1210\sub-csr\prt-336\09_txt\t_adcm_antifu.txt</v>
      </c>
      <c r="T14" s="128" t="str">
        <f t="shared" si="1"/>
        <v>Z:\projects\onc-prj-shr1210\sub-csr\prt-336\11_output\t14-01-002-004-005-adcm-antifu.rtf</v>
      </c>
    </row>
    <row r="15" spans="1:21" ht="14.15" customHeight="1" x14ac:dyDescent="0.3">
      <c r="A15" s="74" t="s">
        <v>172</v>
      </c>
      <c r="C15" s="116" t="s">
        <v>224</v>
      </c>
      <c r="D15" s="108" t="s">
        <v>225</v>
      </c>
      <c r="E15" s="122" t="s">
        <v>898</v>
      </c>
      <c r="F15" s="145" t="s">
        <v>1150</v>
      </c>
      <c r="G15" s="84" t="s">
        <v>226</v>
      </c>
      <c r="H15" s="84" t="s">
        <v>227</v>
      </c>
      <c r="I15" t="s">
        <v>67</v>
      </c>
      <c r="J15" s="73" t="s">
        <v>1168</v>
      </c>
      <c r="K15" s="79"/>
      <c r="L15" s="77" t="s">
        <v>19</v>
      </c>
      <c r="M15" s="75" t="s">
        <v>692</v>
      </c>
      <c r="N15" s="73" t="s">
        <v>1165</v>
      </c>
      <c r="O15" s="14" t="s">
        <v>800</v>
      </c>
      <c r="R15" s="77" t="s">
        <v>918</v>
      </c>
      <c r="S15" s="128" t="str">
        <f t="shared" si="0"/>
        <v>Z:\projects\onc-prj-shr1210\sub-csr\prt-336\09_txt\t_adsl_strata.txt</v>
      </c>
      <c r="T15" s="128" t="str">
        <f t="shared" si="1"/>
        <v>Z:\projects\onc-prj-shr1210\sub-csr\prt-336\11_output\t14-01-002-005-adsl-strata.rtf</v>
      </c>
    </row>
    <row r="16" spans="1:21" ht="14.15" customHeight="1" x14ac:dyDescent="0.3">
      <c r="A16" s="74" t="s">
        <v>172</v>
      </c>
      <c r="C16" s="116" t="s">
        <v>228</v>
      </c>
      <c r="D16" s="149" t="s">
        <v>229</v>
      </c>
      <c r="E16" s="124" t="s">
        <v>899</v>
      </c>
      <c r="F16" s="133" t="s">
        <v>1135</v>
      </c>
      <c r="G16" s="91" t="s">
        <v>230</v>
      </c>
      <c r="H16" s="84" t="s">
        <v>231</v>
      </c>
      <c r="I16" t="s">
        <v>19</v>
      </c>
      <c r="J16" s="73" t="s">
        <v>869</v>
      </c>
      <c r="K16" s="79" t="s">
        <v>780</v>
      </c>
      <c r="L16" s="78" t="s">
        <v>18</v>
      </c>
      <c r="M16" s="75" t="s">
        <v>241</v>
      </c>
      <c r="N16" s="73" t="s">
        <v>1205</v>
      </c>
      <c r="O16" s="75" t="s">
        <v>1201</v>
      </c>
      <c r="R16" s="77" t="s">
        <v>919</v>
      </c>
      <c r="S16" s="128" t="str">
        <f t="shared" si="0"/>
        <v>Z:\projects\onc-prj-shr1210\sub-csr\prt-336\09_txt\t-adslrs-orr-inv-mrecist.txt</v>
      </c>
      <c r="T16" s="128" t="str">
        <f t="shared" si="1"/>
        <v>Z:\projects\onc-prj-shr1210\sub-csr\prt-336\11_output\t14-02-001-001-001-adslrs-orr-inv-mrecist.rtf</v>
      </c>
    </row>
    <row r="17" spans="1:20" ht="14.15" customHeight="1" x14ac:dyDescent="0.3">
      <c r="A17" s="74" t="s">
        <v>172</v>
      </c>
      <c r="C17" s="116" t="s">
        <v>232</v>
      </c>
      <c r="D17" s="108" t="s">
        <v>233</v>
      </c>
      <c r="E17" s="125" t="s">
        <v>899</v>
      </c>
      <c r="F17" s="132" t="s">
        <v>1135</v>
      </c>
      <c r="G17" s="84" t="s">
        <v>234</v>
      </c>
      <c r="H17" s="84" t="s">
        <v>231</v>
      </c>
      <c r="I17" s="77" t="s">
        <v>19</v>
      </c>
      <c r="J17" s="73" t="s">
        <v>869</v>
      </c>
      <c r="K17" s="79" t="s">
        <v>780</v>
      </c>
      <c r="L17" s="78" t="s">
        <v>18</v>
      </c>
      <c r="M17" s="75" t="s">
        <v>241</v>
      </c>
      <c r="N17" s="73" t="s">
        <v>1205</v>
      </c>
      <c r="O17" s="75" t="s">
        <v>1201</v>
      </c>
      <c r="R17" s="77" t="s">
        <v>920</v>
      </c>
      <c r="S17" s="128" t="str">
        <f t="shared" si="0"/>
        <v>Z:\projects\onc-prj-shr1210\sub-csr\prt-336\09_txt\t-adslrs-orr-irc-mrecist.txt</v>
      </c>
      <c r="T17" s="128" t="str">
        <f t="shared" si="1"/>
        <v>Z:\projects\onc-prj-shr1210\sub-csr\prt-336\11_output\t14-02-001-001-002-adslrs-orr-irc-mrecist.rtf</v>
      </c>
    </row>
    <row r="18" spans="1:20" ht="14.15" customHeight="1" x14ac:dyDescent="0.3">
      <c r="A18" s="74" t="s">
        <v>172</v>
      </c>
      <c r="C18" s="116" t="s">
        <v>235</v>
      </c>
      <c r="D18" s="150" t="s">
        <v>236</v>
      </c>
      <c r="E18" s="124" t="s">
        <v>899</v>
      </c>
      <c r="F18" s="146" t="s">
        <v>1150</v>
      </c>
      <c r="G18" s="84" t="s">
        <v>237</v>
      </c>
      <c r="H18" s="84" t="s">
        <v>231</v>
      </c>
      <c r="I18" s="77" t="s">
        <v>19</v>
      </c>
      <c r="J18" s="73" t="s">
        <v>869</v>
      </c>
      <c r="K18" s="79" t="s">
        <v>780</v>
      </c>
      <c r="L18" s="78" t="s">
        <v>18</v>
      </c>
      <c r="M18" s="75" t="s">
        <v>241</v>
      </c>
      <c r="N18" s="73" t="s">
        <v>1205</v>
      </c>
      <c r="O18" s="75" t="s">
        <v>1201</v>
      </c>
      <c r="R18" s="77" t="s">
        <v>921</v>
      </c>
      <c r="S18" s="128" t="str">
        <f t="shared" si="0"/>
        <v>Z:\projects\onc-prj-shr1210\sub-csr\prt-336\09_txt\t-adslrs-orr-inv-recist.txt</v>
      </c>
      <c r="T18" s="128" t="str">
        <f t="shared" si="1"/>
        <v>Z:\projects\onc-prj-shr1210\sub-csr\prt-336\11_output\t14-02-001-001-003-adslrs-orr-inv-recist.rtf</v>
      </c>
    </row>
    <row r="19" spans="1:20" ht="14.15" customHeight="1" x14ac:dyDescent="0.3">
      <c r="A19" s="74" t="s">
        <v>172</v>
      </c>
      <c r="C19" s="116" t="s">
        <v>238</v>
      </c>
      <c r="D19" s="108" t="s">
        <v>239</v>
      </c>
      <c r="E19" s="125" t="s">
        <v>899</v>
      </c>
      <c r="F19" s="132" t="s">
        <v>1135</v>
      </c>
      <c r="G19" s="18" t="s">
        <v>240</v>
      </c>
      <c r="H19" s="84" t="s">
        <v>231</v>
      </c>
      <c r="I19" t="s">
        <v>19</v>
      </c>
      <c r="J19" s="73" t="s">
        <v>869</v>
      </c>
      <c r="K19" s="79" t="s">
        <v>780</v>
      </c>
      <c r="L19" s="78" t="s">
        <v>18</v>
      </c>
      <c r="M19" s="75" t="s">
        <v>241</v>
      </c>
      <c r="N19" s="73" t="s">
        <v>1205</v>
      </c>
      <c r="O19" s="75" t="s">
        <v>1201</v>
      </c>
      <c r="R19" s="77" t="s">
        <v>922</v>
      </c>
      <c r="S19" s="128" t="str">
        <f t="shared" si="0"/>
        <v>Z:\projects\onc-prj-shr1210\sub-csr\prt-336\09_txt\t-adslrs-orr-irc-recist.txt</v>
      </c>
      <c r="T19" s="128" t="str">
        <f t="shared" si="1"/>
        <v>Z:\projects\onc-prj-shr1210\sub-csr\prt-336\11_output\t14-02-001-001-004-adslrs-orr-irc-recist.rtf</v>
      </c>
    </row>
    <row r="20" spans="1:20" ht="14.15" customHeight="1" x14ac:dyDescent="0.3">
      <c r="A20" s="74" t="s">
        <v>172</v>
      </c>
      <c r="C20" s="116" t="s">
        <v>860</v>
      </c>
      <c r="D20" s="151" t="s">
        <v>858</v>
      </c>
      <c r="E20" s="77"/>
      <c r="F20" s="77"/>
      <c r="G20" s="18" t="s">
        <v>888</v>
      </c>
      <c r="H20" s="84" t="s">
        <v>890</v>
      </c>
      <c r="I20" t="s">
        <v>19</v>
      </c>
      <c r="J20" s="73"/>
      <c r="K20" s="79"/>
      <c r="L20" s="78" t="s">
        <v>18</v>
      </c>
      <c r="M20" s="75" t="s">
        <v>896</v>
      </c>
      <c r="N20" s="73" t="s">
        <v>1171</v>
      </c>
      <c r="O20" s="75" t="s">
        <v>800</v>
      </c>
      <c r="R20" s="77" t="s">
        <v>923</v>
      </c>
      <c r="S20" s="128" t="str">
        <f t="shared" si="0"/>
        <v>Z:\projects\onc-prj-shr1210\sub-csr\prt-336\09_txt\t-adslrs-orr-inv-mrecist-tps.txt</v>
      </c>
      <c r="T20" s="128" t="str">
        <f t="shared" si="1"/>
        <v>Z:\projects\onc-prj-shr1210\sub-csr\prt-336\11_output\t14-02-001-001-005-adslrs-orr-inv-mrecist-tps.rtf</v>
      </c>
    </row>
    <row r="21" spans="1:20" ht="14.15" customHeight="1" x14ac:dyDescent="0.3">
      <c r="A21" s="74" t="s">
        <v>172</v>
      </c>
      <c r="C21" s="116" t="s">
        <v>861</v>
      </c>
      <c r="D21" s="151" t="s">
        <v>859</v>
      </c>
      <c r="E21" s="77"/>
      <c r="F21" s="77"/>
      <c r="G21" s="18" t="s">
        <v>889</v>
      </c>
      <c r="H21" s="84" t="s">
        <v>890</v>
      </c>
      <c r="I21" t="s">
        <v>19</v>
      </c>
      <c r="J21" s="73"/>
      <c r="K21" s="79"/>
      <c r="L21" s="78" t="s">
        <v>18</v>
      </c>
      <c r="M21" s="75" t="s">
        <v>896</v>
      </c>
      <c r="N21" s="73" t="s">
        <v>1171</v>
      </c>
      <c r="O21" s="75" t="s">
        <v>800</v>
      </c>
      <c r="R21" s="77" t="s">
        <v>924</v>
      </c>
      <c r="S21" s="128" t="str">
        <f t="shared" si="0"/>
        <v>Z:\projects\onc-prj-shr1210\sub-csr\prt-336\09_txt\t-adslrs-orr-irc-mrecist-tps.txt</v>
      </c>
      <c r="T21" s="128" t="str">
        <f t="shared" si="1"/>
        <v>Z:\projects\onc-prj-shr1210\sub-csr\prt-336\11_output\t14-02-001-001-006-adslrs-orr-irc-mrecist-tps.rtf</v>
      </c>
    </row>
    <row r="22" spans="1:20" ht="14.15" customHeight="1" x14ac:dyDescent="0.3">
      <c r="A22" s="74" t="s">
        <v>172</v>
      </c>
      <c r="C22" s="116" t="s">
        <v>242</v>
      </c>
      <c r="D22" s="152" t="s">
        <v>243</v>
      </c>
      <c r="E22" s="86"/>
      <c r="F22" s="86"/>
      <c r="G22" s="18" t="s">
        <v>244</v>
      </c>
      <c r="H22" s="18" t="s">
        <v>245</v>
      </c>
      <c r="I22" t="s">
        <v>19</v>
      </c>
      <c r="J22" s="73"/>
      <c r="K22" s="79"/>
      <c r="L22" s="78" t="s">
        <v>18</v>
      </c>
      <c r="M22" s="75" t="s">
        <v>655</v>
      </c>
      <c r="N22" s="73" t="s">
        <v>1171</v>
      </c>
      <c r="O22" s="75" t="s">
        <v>800</v>
      </c>
      <c r="R22" s="77" t="s">
        <v>925</v>
      </c>
      <c r="S22" s="128" t="str">
        <f t="shared" si="0"/>
        <v>Z:\projects\onc-prj-shr1210\sub-csr\prt-336\09_txt\t-adslrs-bor-comp.txt</v>
      </c>
      <c r="T22" s="128" t="str">
        <f t="shared" si="1"/>
        <v>Z:\projects\onc-prj-shr1210\sub-csr\prt-336\11_output\t14-02-001-002-001-adslrs-bor-comp.rtf</v>
      </c>
    </row>
    <row r="23" spans="1:20" ht="14.15" customHeight="1" x14ac:dyDescent="0.3">
      <c r="A23" s="74" t="s">
        <v>172</v>
      </c>
      <c r="C23" s="116" t="s">
        <v>246</v>
      </c>
      <c r="D23" s="108" t="s">
        <v>247</v>
      </c>
      <c r="E23" s="76"/>
      <c r="F23" s="76"/>
      <c r="G23" s="18" t="s">
        <v>248</v>
      </c>
      <c r="H23" s="18" t="s">
        <v>249</v>
      </c>
      <c r="I23" t="s">
        <v>19</v>
      </c>
      <c r="J23" s="73"/>
      <c r="K23" s="79"/>
      <c r="L23" s="78" t="s">
        <v>18</v>
      </c>
      <c r="M23" s="75" t="s">
        <v>654</v>
      </c>
      <c r="N23" s="73" t="s">
        <v>1171</v>
      </c>
      <c r="O23" s="75" t="s">
        <v>800</v>
      </c>
      <c r="R23" s="77" t="s">
        <v>926</v>
      </c>
      <c r="S23" s="128" t="str">
        <f t="shared" si="0"/>
        <v>Z:\projects\onc-prj-shr1210\sub-csr\prt-336\09_txt\t-adslrs-bor-diff.txt</v>
      </c>
      <c r="T23" s="128" t="str">
        <f t="shared" si="1"/>
        <v>Z:\projects\onc-prj-shr1210\sub-csr\prt-336\11_output\t14-02-001-002-002-adslrs-bor-diff.rtf</v>
      </c>
    </row>
    <row r="24" spans="1:20" ht="14.15" customHeight="1" x14ac:dyDescent="0.3">
      <c r="A24" s="74" t="s">
        <v>172</v>
      </c>
      <c r="C24" s="116" t="s">
        <v>250</v>
      </c>
      <c r="D24" s="108" t="s">
        <v>251</v>
      </c>
      <c r="E24" s="76"/>
      <c r="F24" s="76"/>
      <c r="G24" s="85" t="s">
        <v>252</v>
      </c>
      <c r="H24" s="83" t="s">
        <v>253</v>
      </c>
      <c r="I24" t="s">
        <v>19</v>
      </c>
      <c r="J24" s="73"/>
      <c r="K24" s="79"/>
      <c r="L24" s="78" t="s">
        <v>18</v>
      </c>
      <c r="M24" s="75" t="s">
        <v>263</v>
      </c>
      <c r="N24" s="73" t="s">
        <v>1171</v>
      </c>
      <c r="O24" s="75" t="s">
        <v>800</v>
      </c>
      <c r="R24" s="77" t="s">
        <v>927</v>
      </c>
      <c r="S24" s="128" t="str">
        <f t="shared" si="0"/>
        <v>Z:\projects\onc-prj-shr1210\sub-csr\prt-336\09_txt\t-adtte-dor-inv-mrecist.txt</v>
      </c>
      <c r="T24" s="128" t="str">
        <f t="shared" si="1"/>
        <v>Z:\projects\onc-prj-shr1210\sub-csr\prt-336\11_output\t14-02-002-001-001-adtte-dor-inv-mrecist.rtf</v>
      </c>
    </row>
    <row r="25" spans="1:20" ht="14.15" customHeight="1" x14ac:dyDescent="0.3">
      <c r="A25" s="74" t="s">
        <v>172</v>
      </c>
      <c r="C25" s="116" t="s">
        <v>254</v>
      </c>
      <c r="D25" s="108" t="s">
        <v>255</v>
      </c>
      <c r="E25" s="76"/>
      <c r="F25" s="76"/>
      <c r="G25" s="85" t="s">
        <v>256</v>
      </c>
      <c r="H25" s="83" t="s">
        <v>253</v>
      </c>
      <c r="I25" s="77" t="s">
        <v>19</v>
      </c>
      <c r="J25" s="73"/>
      <c r="K25" s="79"/>
      <c r="L25" s="78" t="s">
        <v>18</v>
      </c>
      <c r="M25" s="75" t="s">
        <v>263</v>
      </c>
      <c r="N25" s="73" t="s">
        <v>1171</v>
      </c>
      <c r="O25" s="75" t="s">
        <v>800</v>
      </c>
      <c r="R25" s="77" t="s">
        <v>928</v>
      </c>
      <c r="S25" s="128" t="str">
        <f t="shared" si="0"/>
        <v>Z:\projects\onc-prj-shr1210\sub-csr\prt-336\09_txt\t-adtte-dor-irc-mrecist.txt</v>
      </c>
      <c r="T25" s="128" t="str">
        <f t="shared" si="1"/>
        <v>Z:\projects\onc-prj-shr1210\sub-csr\prt-336\11_output\t14-02-002-001-002-adtte-dor-irc-mrecist.rtf</v>
      </c>
    </row>
    <row r="26" spans="1:20" ht="14.15" customHeight="1" x14ac:dyDescent="0.3">
      <c r="A26" s="74" t="s">
        <v>172</v>
      </c>
      <c r="C26" s="116" t="s">
        <v>257</v>
      </c>
      <c r="D26" s="108" t="s">
        <v>258</v>
      </c>
      <c r="E26" s="76"/>
      <c r="F26" s="76"/>
      <c r="G26" s="85" t="s">
        <v>259</v>
      </c>
      <c r="H26" s="83" t="s">
        <v>253</v>
      </c>
      <c r="I26" s="77" t="s">
        <v>19</v>
      </c>
      <c r="J26" s="73"/>
      <c r="K26" s="79"/>
      <c r="L26" s="78" t="s">
        <v>18</v>
      </c>
      <c r="M26" s="75" t="s">
        <v>263</v>
      </c>
      <c r="N26" s="73" t="s">
        <v>1171</v>
      </c>
      <c r="O26" s="75" t="s">
        <v>800</v>
      </c>
      <c r="R26" s="77" t="s">
        <v>929</v>
      </c>
      <c r="S26" s="128" t="str">
        <f t="shared" si="0"/>
        <v>Z:\projects\onc-prj-shr1210\sub-csr\prt-336\09_txt\t-adtte-dor-inv-recist.txt</v>
      </c>
      <c r="T26" s="128" t="str">
        <f t="shared" si="1"/>
        <v>Z:\projects\onc-prj-shr1210\sub-csr\prt-336\11_output\t14-02-002-001-003-adtte-dor-inv-recist.rtf</v>
      </c>
    </row>
    <row r="27" spans="1:20" ht="14.15" customHeight="1" x14ac:dyDescent="0.3">
      <c r="A27" s="74" t="s">
        <v>172</v>
      </c>
      <c r="C27" s="116" t="s">
        <v>260</v>
      </c>
      <c r="D27" s="108" t="s">
        <v>261</v>
      </c>
      <c r="E27" s="76"/>
      <c r="F27" s="76"/>
      <c r="G27" s="85" t="s">
        <v>262</v>
      </c>
      <c r="H27" s="83" t="s">
        <v>253</v>
      </c>
      <c r="I27" s="77" t="s">
        <v>19</v>
      </c>
      <c r="J27" s="73"/>
      <c r="K27" s="79"/>
      <c r="L27" s="78" t="s">
        <v>18</v>
      </c>
      <c r="M27" s="75" t="s">
        <v>263</v>
      </c>
      <c r="N27" s="73" t="s">
        <v>1171</v>
      </c>
      <c r="O27" s="75" t="s">
        <v>800</v>
      </c>
      <c r="R27" s="77" t="s">
        <v>930</v>
      </c>
      <c r="S27" s="128" t="str">
        <f t="shared" si="0"/>
        <v>Z:\projects\onc-prj-shr1210\sub-csr\prt-336\09_txt\t-adtte-dor-irc-recist.txt</v>
      </c>
      <c r="T27" s="128" t="str">
        <f t="shared" si="1"/>
        <v>Z:\projects\onc-prj-shr1210\sub-csr\prt-336\11_output\t14-02-002-001-004-adtte-dor-irc-recist.rtf</v>
      </c>
    </row>
    <row r="28" spans="1:20" ht="14.15" customHeight="1" x14ac:dyDescent="0.3">
      <c r="A28" s="74" t="s">
        <v>264</v>
      </c>
      <c r="C28" s="116" t="s">
        <v>265</v>
      </c>
      <c r="D28" s="153" t="s">
        <v>266</v>
      </c>
      <c r="E28" s="95"/>
      <c r="F28" s="95"/>
      <c r="G28" s="77" t="str">
        <f>SUBSTITUTE(LEFT(H28,1)&amp;SUBSTITUTE(SUBSTITUTE(C28,".","-00"),"-00","-0",1)&amp;MID(H28,2,100)&amp;".rtf","_","-")</f>
        <v>f14-02-002-002-001-km-dor-inv-mrecist.rtf</v>
      </c>
      <c r="H28" s="83" t="s">
        <v>703</v>
      </c>
      <c r="I28" s="57" t="s">
        <v>56</v>
      </c>
      <c r="J28" s="73"/>
      <c r="K28" s="79"/>
      <c r="L28" t="s">
        <v>43</v>
      </c>
      <c r="M28" s="75" t="s">
        <v>668</v>
      </c>
      <c r="N28" s="73" t="s">
        <v>1166</v>
      </c>
      <c r="O28" s="75" t="s">
        <v>800</v>
      </c>
      <c r="Q28" s="75" t="s">
        <v>267</v>
      </c>
      <c r="R28" s="77" t="s">
        <v>931</v>
      </c>
      <c r="S28" s="128" t="str">
        <f t="shared" si="0"/>
        <v>Z:\projects\onc-prj-shr1210\sub-csr\prt-336\09_txt\f-km-dor-inv-mrecist.txt</v>
      </c>
      <c r="T28" s="128" t="str">
        <f t="shared" si="1"/>
        <v>Z:\projects\onc-prj-shr1210\sub-csr\prt-336\11_output\f14-02-002-002-001-km-dor-inv-mrecist.rtf</v>
      </c>
    </row>
    <row r="29" spans="1:20" ht="14.15" customHeight="1" x14ac:dyDescent="0.3">
      <c r="A29" s="74" t="s">
        <v>264</v>
      </c>
      <c r="C29" s="116" t="s">
        <v>268</v>
      </c>
      <c r="D29" s="137" t="s">
        <v>269</v>
      </c>
      <c r="E29" s="76"/>
      <c r="F29" s="76"/>
      <c r="G29" s="77" t="str">
        <f>SUBSTITUTE(LEFT(H29,1)&amp;SUBSTITUTE(SUBSTITUTE(C29,".","-00"),"-00","-0",1)&amp;MID(H29,2,100)&amp;".rtf","_","-")</f>
        <v>f14-02-002-002-002-km-dor-irc-mrecist.rtf</v>
      </c>
      <c r="H29" s="83" t="s">
        <v>704</v>
      </c>
      <c r="I29" s="57" t="s">
        <v>56</v>
      </c>
      <c r="J29" s="73"/>
      <c r="K29" s="79"/>
      <c r="L29" s="77" t="s">
        <v>43</v>
      </c>
      <c r="M29" s="75" t="s">
        <v>668</v>
      </c>
      <c r="N29" s="73" t="s">
        <v>1166</v>
      </c>
      <c r="O29" s="75" t="s">
        <v>800</v>
      </c>
      <c r="Q29" s="75" t="s">
        <v>270</v>
      </c>
      <c r="R29" s="77" t="s">
        <v>932</v>
      </c>
      <c r="S29" s="128" t="str">
        <f t="shared" si="0"/>
        <v>Z:\projects\onc-prj-shr1210\sub-csr\prt-336\09_txt\f-km-dor-irc-mrecist.txt</v>
      </c>
      <c r="T29" s="128" t="str">
        <f t="shared" si="1"/>
        <v>Z:\projects\onc-prj-shr1210\sub-csr\prt-336\11_output\f14-02-002-002-002-km-dor-irc-mrecist.rtf</v>
      </c>
    </row>
    <row r="30" spans="1:20" ht="14.15" customHeight="1" x14ac:dyDescent="0.3">
      <c r="A30" s="74" t="s">
        <v>264</v>
      </c>
      <c r="C30" s="116" t="s">
        <v>271</v>
      </c>
      <c r="D30" s="138" t="s">
        <v>272</v>
      </c>
      <c r="E30" s="95"/>
      <c r="F30" s="95"/>
      <c r="G30" s="77" t="str">
        <f>SUBSTITUTE(LEFT(H30,1)&amp;SUBSTITUTE(SUBSTITUTE(C30,".","-00"),"-00","-0",1)&amp;MID(H30,2,100)&amp;".rtf","_","-")</f>
        <v>f14-02-002-002-003-km-dor-inv-recist11.rtf</v>
      </c>
      <c r="H30" s="83" t="s">
        <v>705</v>
      </c>
      <c r="I30" s="57" t="s">
        <v>56</v>
      </c>
      <c r="J30" s="73"/>
      <c r="K30" s="79"/>
      <c r="L30" s="77" t="s">
        <v>43</v>
      </c>
      <c r="M30" s="75" t="s">
        <v>668</v>
      </c>
      <c r="N30" s="73" t="s">
        <v>1166</v>
      </c>
      <c r="O30" s="75" t="s">
        <v>800</v>
      </c>
      <c r="Q30" s="75" t="s">
        <v>267</v>
      </c>
      <c r="R30" s="77" t="s">
        <v>933</v>
      </c>
      <c r="S30" s="128" t="str">
        <f t="shared" si="0"/>
        <v>Z:\projects\onc-prj-shr1210\sub-csr\prt-336\09_txt\f-km-dor-inv-recist11.txt</v>
      </c>
      <c r="T30" s="128" t="str">
        <f t="shared" si="1"/>
        <v>Z:\projects\onc-prj-shr1210\sub-csr\prt-336\11_output\f14-02-002-002-003-km-dor-inv-recist11.rtf</v>
      </c>
    </row>
    <row r="31" spans="1:20" ht="14.15" customHeight="1" x14ac:dyDescent="0.3">
      <c r="A31" s="74" t="s">
        <v>264</v>
      </c>
      <c r="C31" s="116" t="s">
        <v>273</v>
      </c>
      <c r="D31" s="117" t="s">
        <v>274</v>
      </c>
      <c r="E31" s="76"/>
      <c r="F31" s="76"/>
      <c r="G31" s="77" t="str">
        <f>SUBSTITUTE(LEFT(H31,1)&amp;SUBSTITUTE(SUBSTITUTE(C31,".","-00"),"-00","-0",1)&amp;MID(H31,2,100)&amp;".rtf","_","-")</f>
        <v>f14-02-002-002-004-km-dor-irc-recist11.rtf</v>
      </c>
      <c r="H31" s="83" t="s">
        <v>706</v>
      </c>
      <c r="I31" s="57" t="s">
        <v>56</v>
      </c>
      <c r="J31" s="73"/>
      <c r="K31" s="79"/>
      <c r="L31" s="77" t="s">
        <v>43</v>
      </c>
      <c r="M31" s="75" t="s">
        <v>668</v>
      </c>
      <c r="N31" s="73" t="s">
        <v>1166</v>
      </c>
      <c r="O31" s="75" t="s">
        <v>800</v>
      </c>
      <c r="Q31" s="75" t="s">
        <v>270</v>
      </c>
      <c r="R31" s="77" t="s">
        <v>934</v>
      </c>
      <c r="S31" s="128" t="str">
        <f t="shared" si="0"/>
        <v>Z:\projects\onc-prj-shr1210\sub-csr\prt-336\09_txt\f-km-dor-irc-recist11.txt</v>
      </c>
      <c r="T31" s="128" t="str">
        <f t="shared" si="1"/>
        <v>Z:\projects\onc-prj-shr1210\sub-csr\prt-336\11_output\f14-02-002-002-004-km-dor-irc-recist11.rtf</v>
      </c>
    </row>
    <row r="32" spans="1:20" ht="14.15" customHeight="1" x14ac:dyDescent="0.3">
      <c r="A32" s="74" t="s">
        <v>172</v>
      </c>
      <c r="C32" s="145" t="s">
        <v>1285</v>
      </c>
      <c r="D32" s="117" t="s">
        <v>275</v>
      </c>
      <c r="E32" s="125" t="s">
        <v>899</v>
      </c>
      <c r="F32" s="132" t="s">
        <v>1135</v>
      </c>
      <c r="G32" s="166" t="s">
        <v>1286</v>
      </c>
      <c r="H32" s="83" t="s">
        <v>276</v>
      </c>
      <c r="I32" s="77" t="s">
        <v>19</v>
      </c>
      <c r="J32" s="73" t="s">
        <v>869</v>
      </c>
      <c r="K32" s="79" t="s">
        <v>780</v>
      </c>
      <c r="L32" s="78" t="s">
        <v>18</v>
      </c>
      <c r="M32" s="75" t="s">
        <v>277</v>
      </c>
      <c r="N32" s="73" t="s">
        <v>1200</v>
      </c>
      <c r="O32" s="75" t="s">
        <v>1201</v>
      </c>
      <c r="R32" s="77" t="s">
        <v>935</v>
      </c>
      <c r="S32" s="128" t="str">
        <f t="shared" si="0"/>
        <v>Z:\projects\onc-prj-shr1210\sub-csr\prt-336\09_txt\t-adtte-os-sum.txt</v>
      </c>
      <c r="T32" s="128" t="str">
        <f t="shared" si="1"/>
        <v>Z:\projects\onc-prj-shr1210\sub-csr\prt-336\11_output\t14-02-003-001-001-adtte-os-sum.rtf</v>
      </c>
    </row>
    <row r="33" spans="1:20" ht="14.15" customHeight="1" x14ac:dyDescent="0.3">
      <c r="A33" s="74"/>
      <c r="C33" s="145" t="s">
        <v>1284</v>
      </c>
      <c r="D33" s="139" t="s">
        <v>1147</v>
      </c>
      <c r="E33" s="125"/>
      <c r="F33" s="143"/>
      <c r="G33" s="167" t="s">
        <v>1287</v>
      </c>
      <c r="H33" s="83" t="s">
        <v>276</v>
      </c>
      <c r="I33" t="s">
        <v>19</v>
      </c>
      <c r="J33" s="73"/>
      <c r="K33" s="79"/>
      <c r="L33" s="78" t="s">
        <v>18</v>
      </c>
      <c r="M33" s="75" t="s">
        <v>1169</v>
      </c>
      <c r="N33" s="73" t="s">
        <v>1171</v>
      </c>
      <c r="O33" s="75" t="s">
        <v>800</v>
      </c>
      <c r="R33" s="77" t="s">
        <v>1157</v>
      </c>
      <c r="S33" s="128" t="str">
        <f>HYPERLINK(_xlfn.CONCAT("Z:\projects\onc-prj-shr1210\sub-csr\prt-336\09_txt\",R33))</f>
        <v>Z:\projects\onc-prj-shr1210\sub-csr\prt-336\09_txt\t-adtte-os-sum-mitt.txt</v>
      </c>
      <c r="T33" s="128" t="str">
        <f>HYPERLINK(_xlfn.CONCAT("Z:\projects\onc-prj-shr1210\sub-csr\prt-336\11_output\",G33))</f>
        <v>Z:\projects\onc-prj-shr1210\sub-csr\prt-336\11_output\t14-02-003-001-002-adtte-os-sum-mitt.rtf</v>
      </c>
    </row>
    <row r="34" spans="1:20" ht="14.15" customHeight="1" x14ac:dyDescent="0.3">
      <c r="A34" s="74" t="s">
        <v>172</v>
      </c>
      <c r="C34" s="116" t="s">
        <v>864</v>
      </c>
      <c r="D34" s="139" t="s">
        <v>862</v>
      </c>
      <c r="E34" s="77"/>
      <c r="F34" s="77"/>
      <c r="G34" s="77" t="s">
        <v>1217</v>
      </c>
      <c r="H34" s="83" t="s">
        <v>870</v>
      </c>
      <c r="I34" t="s">
        <v>19</v>
      </c>
      <c r="J34" s="73"/>
      <c r="K34" s="79"/>
      <c r="L34" s="78" t="s">
        <v>18</v>
      </c>
      <c r="M34" s="75" t="s">
        <v>897</v>
      </c>
      <c r="N34" s="73" t="s">
        <v>1171</v>
      </c>
      <c r="O34" s="75" t="s">
        <v>800</v>
      </c>
      <c r="R34" s="77" t="s">
        <v>936</v>
      </c>
      <c r="S34" s="128" t="str">
        <f t="shared" si="0"/>
        <v>Z:\projects\onc-prj-shr1210\sub-csr\prt-336\09_txt\t-adtte-os-sum-tps.txt</v>
      </c>
      <c r="T34" s="128" t="str">
        <f t="shared" si="1"/>
        <v>Z:\projects\onc-prj-shr1210\sub-csr\prt-336\11_output\t14-02-003-002-adtte-os-sum-tps.rtf</v>
      </c>
    </row>
    <row r="35" spans="1:20" ht="14.15" customHeight="1" x14ac:dyDescent="0.3">
      <c r="A35" s="74" t="s">
        <v>172</v>
      </c>
      <c r="C35" s="116" t="s">
        <v>865</v>
      </c>
      <c r="D35" s="139" t="s">
        <v>863</v>
      </c>
      <c r="E35" s="77"/>
      <c r="F35" s="77"/>
      <c r="G35" s="77" t="s">
        <v>1218</v>
      </c>
      <c r="H35" s="83" t="s">
        <v>870</v>
      </c>
      <c r="I35" t="s">
        <v>19</v>
      </c>
      <c r="J35" s="73"/>
      <c r="K35" s="79"/>
      <c r="L35" s="78" t="s">
        <v>18</v>
      </c>
      <c r="M35" s="75" t="s">
        <v>897</v>
      </c>
      <c r="N35" s="73" t="s">
        <v>1171</v>
      </c>
      <c r="O35" s="75" t="s">
        <v>800</v>
      </c>
      <c r="R35" s="77" t="s">
        <v>937</v>
      </c>
      <c r="S35" s="128" t="str">
        <f t="shared" ref="S35:S72" si="2">HYPERLINK(_xlfn.CONCAT("Z:\projects\onc-prj-shr1210\sub-csr\prt-336\09_txt\",R35))</f>
        <v>Z:\projects\onc-prj-shr1210\sub-csr\prt-336\09_txt\t-adtte-os-sum-cps.txt</v>
      </c>
      <c r="T35" s="128" t="str">
        <f t="shared" ref="T35:T72" si="3">HYPERLINK(_xlfn.CONCAT("Z:\projects\onc-prj-shr1210\sub-csr\prt-336\11_output\",G35))</f>
        <v>Z:\projects\onc-prj-shr1210\sub-csr\prt-336\11_output\t14-02-003-003-adtte-os-sum-cps.rtf</v>
      </c>
    </row>
    <row r="36" spans="1:20" ht="14.15" customHeight="1" x14ac:dyDescent="0.3">
      <c r="A36" s="74" t="s">
        <v>172</v>
      </c>
      <c r="C36" s="116" t="s">
        <v>278</v>
      </c>
      <c r="D36" s="160" t="s">
        <v>1297</v>
      </c>
      <c r="E36" s="88"/>
      <c r="F36" s="88"/>
      <c r="G36" s="77" t="s">
        <v>1219</v>
      </c>
      <c r="H36" s="77" t="s">
        <v>701</v>
      </c>
      <c r="I36" s="77" t="s">
        <v>19</v>
      </c>
      <c r="J36" s="73"/>
      <c r="K36" s="79"/>
      <c r="L36" s="78" t="s">
        <v>18</v>
      </c>
      <c r="M36" s="75" t="s">
        <v>1173</v>
      </c>
      <c r="N36" s="73" t="s">
        <v>1171</v>
      </c>
      <c r="O36" s="75" t="s">
        <v>800</v>
      </c>
      <c r="P36" s="19"/>
      <c r="Q36" s="77"/>
      <c r="R36" s="77" t="s">
        <v>938</v>
      </c>
      <c r="S36" s="128" t="str">
        <f t="shared" si="2"/>
        <v>Z:\projects\onc-prj-shr1210\sub-csr\prt-336\09_txt\t-adtte-os-ada-sum.txt</v>
      </c>
      <c r="T36" s="128" t="str">
        <f t="shared" si="3"/>
        <v>Z:\projects\onc-prj-shr1210\sub-csr\prt-336\11_output\t14-02-003-004-adtte-os-ada-sum.rtf</v>
      </c>
    </row>
    <row r="37" spans="1:20" ht="14" customHeight="1" x14ac:dyDescent="0.3">
      <c r="A37" s="74" t="s">
        <v>172</v>
      </c>
      <c r="C37" s="116" t="s">
        <v>279</v>
      </c>
      <c r="D37" s="160" t="s">
        <v>1298</v>
      </c>
      <c r="E37" s="88"/>
      <c r="F37" s="88"/>
      <c r="G37" s="77" t="s">
        <v>1220</v>
      </c>
      <c r="H37" s="77" t="s">
        <v>701</v>
      </c>
      <c r="I37" s="77" t="s">
        <v>19</v>
      </c>
      <c r="J37" s="73"/>
      <c r="K37" s="79"/>
      <c r="L37" s="78" t="s">
        <v>18</v>
      </c>
      <c r="M37" s="75" t="s">
        <v>1173</v>
      </c>
      <c r="N37" s="73" t="s">
        <v>1171</v>
      </c>
      <c r="O37" s="75" t="s">
        <v>800</v>
      </c>
      <c r="R37" s="77" t="s">
        <v>939</v>
      </c>
      <c r="S37" s="128" t="str">
        <f t="shared" si="2"/>
        <v>Z:\projects\onc-prj-shr1210\sub-csr\prt-336\09_txt\t-adtte-os-nab-sum.txt</v>
      </c>
      <c r="T37" s="128" t="str">
        <f t="shared" si="3"/>
        <v>Z:\projects\onc-prj-shr1210\sub-csr\prt-336\11_output\t14-02-003-005-adtte-os-nab-sum.rtf</v>
      </c>
    </row>
    <row r="38" spans="1:20" ht="14.15" customHeight="1" x14ac:dyDescent="0.3">
      <c r="A38" s="74" t="s">
        <v>172</v>
      </c>
      <c r="C38" s="116" t="s">
        <v>1288</v>
      </c>
      <c r="D38" s="157" t="s">
        <v>877</v>
      </c>
      <c r="E38" s="114"/>
      <c r="F38" s="114"/>
      <c r="G38" s="77" t="s">
        <v>1293</v>
      </c>
      <c r="H38" s="83" t="s">
        <v>276</v>
      </c>
      <c r="I38" s="77" t="s">
        <v>19</v>
      </c>
      <c r="J38" s="73"/>
      <c r="K38" s="79"/>
      <c r="L38" s="78" t="s">
        <v>886</v>
      </c>
      <c r="M38" s="75" t="s">
        <v>1169</v>
      </c>
      <c r="N38" s="73" t="s">
        <v>1171</v>
      </c>
      <c r="O38" s="75" t="s">
        <v>800</v>
      </c>
      <c r="R38" s="77" t="s">
        <v>940</v>
      </c>
      <c r="S38" s="128" t="str">
        <f t="shared" si="2"/>
        <v>Z:\projects\onc-prj-shr1210\sub-csr\prt-336\09_txt\t-adtte-os2-sum.txt</v>
      </c>
      <c r="T38" s="128" t="str">
        <f t="shared" si="3"/>
        <v>Z:\projects\onc-prj-shr1210\sub-csr\prt-336\11_output\t14-02-003-006-001-adtte-os2-sum.rtf</v>
      </c>
    </row>
    <row r="39" spans="1:20" ht="14.15" customHeight="1" x14ac:dyDescent="0.3">
      <c r="A39" s="74"/>
      <c r="C39" s="116" t="s">
        <v>1289</v>
      </c>
      <c r="D39" s="157" t="s">
        <v>1290</v>
      </c>
      <c r="E39" s="114"/>
      <c r="F39" s="114"/>
      <c r="G39" s="77" t="s">
        <v>1294</v>
      </c>
      <c r="H39" s="83" t="s">
        <v>276</v>
      </c>
      <c r="I39" s="77" t="s">
        <v>19</v>
      </c>
      <c r="J39" s="73"/>
      <c r="K39" s="79"/>
      <c r="L39" s="78" t="s">
        <v>691</v>
      </c>
      <c r="M39" s="75" t="s">
        <v>1169</v>
      </c>
      <c r="N39" s="73" t="s">
        <v>1296</v>
      </c>
      <c r="O39" s="75" t="s">
        <v>1291</v>
      </c>
      <c r="R39" s="77" t="s">
        <v>1292</v>
      </c>
      <c r="S39" s="128" t="str">
        <f t="shared" si="2"/>
        <v>Z:\projects\onc-prj-shr1210\sub-csr\prt-336\09_txt\t-adtte-os3-sum.txt</v>
      </c>
      <c r="T39" s="128" t="str">
        <f t="shared" si="3"/>
        <v>Z:\projects\onc-prj-shr1210\sub-csr\prt-336\11_output\t14-02-003-006-002-adtte-os3-sum.rtf</v>
      </c>
    </row>
    <row r="40" spans="1:20" ht="14.15" customHeight="1" x14ac:dyDescent="0.3">
      <c r="A40" s="74" t="s">
        <v>264</v>
      </c>
      <c r="C40" s="116" t="s">
        <v>883</v>
      </c>
      <c r="D40" s="117" t="s">
        <v>280</v>
      </c>
      <c r="E40" s="125" t="s">
        <v>899</v>
      </c>
      <c r="F40" s="132" t="s">
        <v>1135</v>
      </c>
      <c r="G40" s="77" t="str">
        <f t="shared" ref="G40:G43" si="4">SUBSTITUTE(LEFT(H40,1)&amp;SUBSTITUTE(SUBSTITUTE(C40,".","-00"),"-00","-0",1)&amp;MID(H40,2,100)&amp;".rtf","_","-")</f>
        <v>f14-02-003-007-km-os.rtf</v>
      </c>
      <c r="H40" s="83" t="s">
        <v>707</v>
      </c>
      <c r="I40" s="57" t="s">
        <v>56</v>
      </c>
      <c r="J40" s="73"/>
      <c r="K40" s="79"/>
      <c r="L40" s="77" t="s">
        <v>43</v>
      </c>
      <c r="M40" s="75" t="s">
        <v>668</v>
      </c>
      <c r="N40" s="73" t="s">
        <v>1166</v>
      </c>
      <c r="O40" s="75" t="s">
        <v>800</v>
      </c>
      <c r="Q40" s="75" t="s">
        <v>270</v>
      </c>
      <c r="R40" s="77" t="s">
        <v>941</v>
      </c>
      <c r="S40" s="128" t="str">
        <f t="shared" si="2"/>
        <v>Z:\projects\onc-prj-shr1210\sub-csr\prt-336\09_txt\f-km-os.txt</v>
      </c>
      <c r="T40" s="128" t="str">
        <f t="shared" si="3"/>
        <v>Z:\projects\onc-prj-shr1210\sub-csr\prt-336\11_output\f14-02-003-007-km-os.rtf</v>
      </c>
    </row>
    <row r="41" spans="1:20" ht="14.15" customHeight="1" x14ac:dyDescent="0.3">
      <c r="A41" s="74"/>
      <c r="C41" s="116" t="s">
        <v>1315</v>
      </c>
      <c r="D41" s="117" t="s">
        <v>1316</v>
      </c>
      <c r="E41" s="125"/>
      <c r="F41" s="132"/>
      <c r="G41" s="77"/>
      <c r="H41" s="83" t="s">
        <v>1317</v>
      </c>
      <c r="I41" s="57"/>
      <c r="J41" s="73"/>
      <c r="K41" s="79"/>
      <c r="L41" s="77"/>
      <c r="N41" s="73"/>
      <c r="S41" s="128"/>
      <c r="T41" s="128"/>
    </row>
    <row r="42" spans="1:20" ht="14" customHeight="1" x14ac:dyDescent="0.3">
      <c r="A42" s="74" t="s">
        <v>264</v>
      </c>
      <c r="C42" s="116" t="s">
        <v>878</v>
      </c>
      <c r="D42" s="160" t="s">
        <v>1299</v>
      </c>
      <c r="E42" s="100"/>
      <c r="F42" s="100"/>
      <c r="G42" s="77" t="str">
        <f t="shared" si="4"/>
        <v>f14-02-003-008-km-os-ada.rtf</v>
      </c>
      <c r="H42" s="83" t="s">
        <v>710</v>
      </c>
      <c r="I42" s="57" t="s">
        <v>56</v>
      </c>
      <c r="J42" s="73"/>
      <c r="K42" s="79"/>
      <c r="L42" s="77" t="s">
        <v>43</v>
      </c>
      <c r="M42" s="75" t="s">
        <v>1167</v>
      </c>
      <c r="N42" s="73" t="s">
        <v>1166</v>
      </c>
      <c r="O42" s="75" t="s">
        <v>800</v>
      </c>
      <c r="Q42" s="75" t="s">
        <v>270</v>
      </c>
      <c r="R42" s="77" t="s">
        <v>942</v>
      </c>
      <c r="S42" s="128" t="str">
        <f t="shared" si="2"/>
        <v>Z:\projects\onc-prj-shr1210\sub-csr\prt-336\09_txt\f-km-os-ada.txt</v>
      </c>
      <c r="T42" s="128" t="str">
        <f t="shared" si="3"/>
        <v>Z:\projects\onc-prj-shr1210\sub-csr\prt-336\11_output\f14-02-003-008-km-os-ada.rtf</v>
      </c>
    </row>
    <row r="43" spans="1:20" ht="14" customHeight="1" x14ac:dyDescent="0.3">
      <c r="A43" s="74" t="s">
        <v>264</v>
      </c>
      <c r="C43" s="116" t="s">
        <v>879</v>
      </c>
      <c r="D43" s="160" t="s">
        <v>1300</v>
      </c>
      <c r="E43" s="89"/>
      <c r="F43" s="89"/>
      <c r="G43" s="77" t="str">
        <f t="shared" si="4"/>
        <v>f14-02-003-009-km-os-nab.rtf</v>
      </c>
      <c r="H43" s="83" t="s">
        <v>708</v>
      </c>
      <c r="I43" s="57" t="s">
        <v>56</v>
      </c>
      <c r="J43" s="73"/>
      <c r="K43" s="79"/>
      <c r="L43" s="77" t="s">
        <v>43</v>
      </c>
      <c r="M43" s="75" t="s">
        <v>1167</v>
      </c>
      <c r="N43" s="73" t="s">
        <v>1166</v>
      </c>
      <c r="O43" s="75" t="s">
        <v>800</v>
      </c>
      <c r="Q43" s="75" t="s">
        <v>270</v>
      </c>
      <c r="R43" s="77" t="s">
        <v>943</v>
      </c>
      <c r="S43" s="128" t="str">
        <f t="shared" si="2"/>
        <v>Z:\projects\onc-prj-shr1210\sub-csr\prt-336\09_txt\f-km-os-nab.txt</v>
      </c>
      <c r="T43" s="128" t="str">
        <f t="shared" si="3"/>
        <v>Z:\projects\onc-prj-shr1210\sub-csr\prt-336\11_output\f14-02-003-009-km-os-nab.rtf</v>
      </c>
    </row>
    <row r="44" spans="1:20" ht="14.15" customHeight="1" x14ac:dyDescent="0.3">
      <c r="A44" s="74" t="s">
        <v>264</v>
      </c>
      <c r="C44" s="115" t="s">
        <v>881</v>
      </c>
      <c r="D44" s="157" t="s">
        <v>880</v>
      </c>
      <c r="E44" s="99"/>
      <c r="F44" s="99"/>
      <c r="G44" s="77" t="s">
        <v>1095</v>
      </c>
      <c r="H44" s="83" t="s">
        <v>891</v>
      </c>
      <c r="I44" s="57" t="s">
        <v>56</v>
      </c>
      <c r="J44" s="73"/>
      <c r="K44" s="79"/>
      <c r="L44" s="77" t="s">
        <v>43</v>
      </c>
      <c r="M44" s="75" t="s">
        <v>1213</v>
      </c>
      <c r="N44" s="73" t="s">
        <v>1211</v>
      </c>
      <c r="O44" s="75" t="s">
        <v>1212</v>
      </c>
      <c r="Q44" s="75" t="s">
        <v>270</v>
      </c>
      <c r="R44" s="77" t="s">
        <v>944</v>
      </c>
      <c r="S44" s="128" t="str">
        <f t="shared" si="2"/>
        <v>Z:\projects\onc-prj-shr1210\sub-csr\prt-336\09_txt\f-km-os-two-stage.txt</v>
      </c>
      <c r="T44" s="128" t="str">
        <f t="shared" si="3"/>
        <v>Z:\projects\onc-prj-shr1210\sub-csr\prt-336\11_output\f14-02-003-010-km-os-two-stage.rtf</v>
      </c>
    </row>
    <row r="45" spans="1:20" ht="14.15" customHeight="1" x14ac:dyDescent="0.3">
      <c r="A45" s="74" t="s">
        <v>264</v>
      </c>
      <c r="C45" s="115" t="s">
        <v>882</v>
      </c>
      <c r="D45" s="117" t="s">
        <v>282</v>
      </c>
      <c r="E45" s="125" t="s">
        <v>899</v>
      </c>
      <c r="F45" s="132" t="s">
        <v>1135</v>
      </c>
      <c r="G45" s="77" t="s">
        <v>1096</v>
      </c>
      <c r="H45" s="83" t="s">
        <v>709</v>
      </c>
      <c r="I45" s="57" t="s">
        <v>56</v>
      </c>
      <c r="J45" s="73"/>
      <c r="K45" s="79"/>
      <c r="L45" s="77" t="s">
        <v>691</v>
      </c>
      <c r="M45" s="75" t="s">
        <v>1203</v>
      </c>
      <c r="N45" s="73" t="s">
        <v>1200</v>
      </c>
      <c r="O45" s="75" t="s">
        <v>1201</v>
      </c>
      <c r="R45" s="77" t="s">
        <v>945</v>
      </c>
      <c r="S45" s="128" t="str">
        <f t="shared" si="2"/>
        <v>Z:\projects\onc-prj-shr1210\sub-csr\prt-336\09_txt\f-forest-os.txt</v>
      </c>
      <c r="T45" s="128" t="str">
        <f t="shared" si="3"/>
        <v>Z:\projects\onc-prj-shr1210\sub-csr\prt-336\11_output\f14-02-003-011-forest-os.rtf</v>
      </c>
    </row>
    <row r="46" spans="1:20" ht="14.15" customHeight="1" x14ac:dyDescent="0.3">
      <c r="A46" s="74" t="s">
        <v>172</v>
      </c>
      <c r="C46" s="116" t="s">
        <v>1134</v>
      </c>
      <c r="D46" s="117" t="s">
        <v>283</v>
      </c>
      <c r="E46" s="125" t="s">
        <v>899</v>
      </c>
      <c r="F46" s="132" t="s">
        <v>1135</v>
      </c>
      <c r="G46" s="83" t="s">
        <v>893</v>
      </c>
      <c r="H46" s="77" t="s">
        <v>281</v>
      </c>
      <c r="I46" t="s">
        <v>19</v>
      </c>
      <c r="J46" s="73" t="s">
        <v>869</v>
      </c>
      <c r="K46" s="79" t="s">
        <v>780</v>
      </c>
      <c r="L46" s="78" t="s">
        <v>18</v>
      </c>
      <c r="M46" s="75" t="s">
        <v>1202</v>
      </c>
      <c r="N46" s="73" t="s">
        <v>1200</v>
      </c>
      <c r="O46" s="75" t="s">
        <v>1201</v>
      </c>
      <c r="P46" s="101" t="s">
        <v>894</v>
      </c>
      <c r="R46" s="77" t="s">
        <v>946</v>
      </c>
      <c r="S46" s="128" t="str">
        <f t="shared" si="2"/>
        <v>Z:\projects\onc-prj-shr1210\sub-csr\prt-336\09_txt\t-adtte-os-fup.txt</v>
      </c>
      <c r="T46" s="128" t="str">
        <f t="shared" si="3"/>
        <v>Z:\projects\onc-prj-shr1210\sub-csr\prt-336\11_output\t14-02-003-012-adtte-os-fup.rtf</v>
      </c>
    </row>
    <row r="47" spans="1:20" ht="14.15" customHeight="1" x14ac:dyDescent="0.3">
      <c r="A47" s="74" t="s">
        <v>172</v>
      </c>
      <c r="C47" s="76" t="s">
        <v>284</v>
      </c>
      <c r="D47" s="117" t="s">
        <v>285</v>
      </c>
      <c r="E47" s="125" t="s">
        <v>899</v>
      </c>
      <c r="F47" s="132" t="s">
        <v>1135</v>
      </c>
      <c r="G47" s="83" t="s">
        <v>286</v>
      </c>
      <c r="H47" s="77" t="s">
        <v>287</v>
      </c>
      <c r="I47" t="s">
        <v>19</v>
      </c>
      <c r="J47" s="73" t="s">
        <v>869</v>
      </c>
      <c r="K47" s="79" t="s">
        <v>780</v>
      </c>
      <c r="L47" s="78" t="s">
        <v>18</v>
      </c>
      <c r="M47" s="75" t="s">
        <v>297</v>
      </c>
      <c r="N47" s="73" t="s">
        <v>1200</v>
      </c>
      <c r="O47" s="75" t="s">
        <v>1201</v>
      </c>
      <c r="R47" s="77" t="s">
        <v>947</v>
      </c>
      <c r="S47" s="128" t="str">
        <f t="shared" si="2"/>
        <v>Z:\projects\onc-prj-shr1210\sub-csr\prt-336\09_txt\t-adtte-pfs-sum-inv-mrecist.txt</v>
      </c>
      <c r="T47" s="128" t="str">
        <f t="shared" si="3"/>
        <v>Z:\projects\onc-prj-shr1210\sub-csr\prt-336\11_output\t14-02-004-001-001-adtte-pfs-sum-inv-mrecist.rtf</v>
      </c>
    </row>
    <row r="48" spans="1:20" ht="14.15" customHeight="1" x14ac:dyDescent="0.3">
      <c r="A48" s="74" t="s">
        <v>172</v>
      </c>
      <c r="C48" s="76" t="s">
        <v>288</v>
      </c>
      <c r="D48" s="117" t="s">
        <v>289</v>
      </c>
      <c r="E48" s="125" t="s">
        <v>899</v>
      </c>
      <c r="F48" s="132" t="s">
        <v>1135</v>
      </c>
      <c r="G48" s="83" t="s">
        <v>290</v>
      </c>
      <c r="H48" s="77" t="s">
        <v>287</v>
      </c>
      <c r="I48" t="s">
        <v>19</v>
      </c>
      <c r="J48" s="73" t="s">
        <v>869</v>
      </c>
      <c r="K48" s="79" t="s">
        <v>780</v>
      </c>
      <c r="L48" s="78" t="s">
        <v>18</v>
      </c>
      <c r="M48" s="75" t="s">
        <v>297</v>
      </c>
      <c r="N48" s="73" t="s">
        <v>1200</v>
      </c>
      <c r="O48" s="75" t="s">
        <v>1201</v>
      </c>
      <c r="R48" s="77" t="s">
        <v>948</v>
      </c>
      <c r="S48" s="128" t="str">
        <f t="shared" si="2"/>
        <v>Z:\projects\onc-prj-shr1210\sub-csr\prt-336\09_txt\t-adtte-pfs-sum-irc-mrecist.txt</v>
      </c>
      <c r="T48" s="128" t="str">
        <f t="shared" si="3"/>
        <v>Z:\projects\onc-prj-shr1210\sub-csr\prt-336\11_output\t14-02-004-001-002-adtte-pfs-sum-irc-mrecist.rtf</v>
      </c>
    </row>
    <row r="49" spans="1:20" ht="14.15" customHeight="1" x14ac:dyDescent="0.3">
      <c r="A49" s="74" t="s">
        <v>172</v>
      </c>
      <c r="C49" s="76" t="s">
        <v>291</v>
      </c>
      <c r="D49" s="108" t="s">
        <v>292</v>
      </c>
      <c r="E49" s="125" t="s">
        <v>899</v>
      </c>
      <c r="F49" s="145" t="s">
        <v>1150</v>
      </c>
      <c r="G49" s="91" t="s">
        <v>293</v>
      </c>
      <c r="H49" s="77" t="s">
        <v>287</v>
      </c>
      <c r="I49" s="77" t="s">
        <v>19</v>
      </c>
      <c r="J49" s="73" t="s">
        <v>869</v>
      </c>
      <c r="K49" s="79" t="s">
        <v>780</v>
      </c>
      <c r="L49" s="78" t="s">
        <v>18</v>
      </c>
      <c r="M49" s="75" t="s">
        <v>297</v>
      </c>
      <c r="N49" s="73" t="s">
        <v>1200</v>
      </c>
      <c r="O49" s="75" t="s">
        <v>1201</v>
      </c>
      <c r="R49" s="77" t="s">
        <v>949</v>
      </c>
      <c r="S49" s="128" t="str">
        <f t="shared" si="2"/>
        <v>Z:\projects\onc-prj-shr1210\sub-csr\prt-336\09_txt\t-adtte-pfs-sum-inv-recist.txt</v>
      </c>
      <c r="T49" s="128" t="str">
        <f t="shared" si="3"/>
        <v>Z:\projects\onc-prj-shr1210\sub-csr\prt-336\11_output\t14-02-004-001-003-adtte-pfs-sum-inv-recist.rtf</v>
      </c>
    </row>
    <row r="50" spans="1:20" ht="14.15" customHeight="1" x14ac:dyDescent="0.3">
      <c r="A50" s="74" t="s">
        <v>172</v>
      </c>
      <c r="C50" s="76" t="s">
        <v>294</v>
      </c>
      <c r="D50" s="108" t="s">
        <v>295</v>
      </c>
      <c r="E50" s="125" t="s">
        <v>899</v>
      </c>
      <c r="F50" s="132" t="s">
        <v>1135</v>
      </c>
      <c r="G50" s="77" t="s">
        <v>296</v>
      </c>
      <c r="H50" s="77" t="s">
        <v>287</v>
      </c>
      <c r="I50" s="77" t="s">
        <v>19</v>
      </c>
      <c r="J50" s="73" t="s">
        <v>869</v>
      </c>
      <c r="K50" s="79" t="s">
        <v>780</v>
      </c>
      <c r="L50" s="78" t="s">
        <v>18</v>
      </c>
      <c r="M50" s="75" t="s">
        <v>297</v>
      </c>
      <c r="N50" s="73" t="s">
        <v>1200</v>
      </c>
      <c r="O50" s="75" t="s">
        <v>1201</v>
      </c>
      <c r="R50" s="77" t="s">
        <v>950</v>
      </c>
      <c r="S50" s="128" t="str">
        <f t="shared" si="2"/>
        <v>Z:\projects\onc-prj-shr1210\sub-csr\prt-336\09_txt\t-adtte-pfs-sum-irc-recist.txt</v>
      </c>
      <c r="T50" s="128" t="str">
        <f t="shared" si="3"/>
        <v>Z:\projects\onc-prj-shr1210\sub-csr\prt-336\11_output\t14-02-004-001-004-adtte-pfs-sum-irc-recist.rtf</v>
      </c>
    </row>
    <row r="51" spans="1:20" ht="14.15" customHeight="1" x14ac:dyDescent="0.3">
      <c r="A51" s="74" t="s">
        <v>172</v>
      </c>
      <c r="C51" s="116" t="s">
        <v>298</v>
      </c>
      <c r="D51" s="138" t="s">
        <v>874</v>
      </c>
      <c r="E51" s="118"/>
      <c r="F51" s="118"/>
      <c r="G51" s="109" t="s">
        <v>872</v>
      </c>
      <c r="H51" s="109" t="s">
        <v>299</v>
      </c>
      <c r="I51" s="109" t="s">
        <v>19</v>
      </c>
      <c r="J51" s="73"/>
      <c r="K51" s="79"/>
      <c r="L51" s="78" t="s">
        <v>18</v>
      </c>
      <c r="M51" s="75" t="s">
        <v>1172</v>
      </c>
      <c r="N51" s="73" t="s">
        <v>1171</v>
      </c>
      <c r="O51" s="75" t="s">
        <v>800</v>
      </c>
      <c r="R51" s="77" t="s">
        <v>951</v>
      </c>
      <c r="S51" s="128" t="str">
        <f t="shared" si="2"/>
        <v>Z:\projects\onc-prj-shr1210\sub-csr\prt-336\09_txt\t-adtte-pfs-sum-inv-mrecist-tps.txt</v>
      </c>
      <c r="T51" s="128" t="str">
        <f t="shared" si="3"/>
        <v>Z:\projects\onc-prj-shr1210\sub-csr\prt-336\11_output\t14-02-004-001-005-adtte-pfs-sum-inv-mrecist-tps.rtf</v>
      </c>
    </row>
    <row r="52" spans="1:20" ht="14.15" customHeight="1" x14ac:dyDescent="0.3">
      <c r="A52" s="74" t="s">
        <v>172</v>
      </c>
      <c r="C52" s="116" t="s">
        <v>300</v>
      </c>
      <c r="D52" s="138" t="s">
        <v>868</v>
      </c>
      <c r="E52" s="118"/>
      <c r="F52" s="118"/>
      <c r="G52" s="109" t="s">
        <v>873</v>
      </c>
      <c r="H52" s="109" t="s">
        <v>299</v>
      </c>
      <c r="I52" s="109" t="s">
        <v>19</v>
      </c>
      <c r="J52" s="73"/>
      <c r="K52" s="79"/>
      <c r="L52" s="78" t="s">
        <v>18</v>
      </c>
      <c r="M52" s="75" t="s">
        <v>301</v>
      </c>
      <c r="N52" s="73" t="s">
        <v>1171</v>
      </c>
      <c r="O52" s="75" t="s">
        <v>800</v>
      </c>
      <c r="R52" s="77" t="s">
        <v>952</v>
      </c>
      <c r="S52" s="128" t="str">
        <f t="shared" si="2"/>
        <v>Z:\projects\onc-prj-shr1210\sub-csr\prt-336\09_txt\t-adtte-pfs-sum-irc-mrecist-tps.txt</v>
      </c>
      <c r="T52" s="128" t="str">
        <f t="shared" si="3"/>
        <v>Z:\projects\onc-prj-shr1210\sub-csr\prt-336\11_output\t14-02-004-001-006-adtte-pfs-sum-irc-mrecist-tps.rtf</v>
      </c>
    </row>
    <row r="53" spans="1:20" ht="14" customHeight="1" x14ac:dyDescent="0.3">
      <c r="A53" s="74" t="s">
        <v>172</v>
      </c>
      <c r="C53" s="116" t="s">
        <v>302</v>
      </c>
      <c r="D53" s="160" t="s">
        <v>1301</v>
      </c>
      <c r="E53" s="116"/>
      <c r="F53" s="116"/>
      <c r="G53" s="77" t="s">
        <v>699</v>
      </c>
      <c r="H53" s="77" t="s">
        <v>698</v>
      </c>
      <c r="I53" s="77" t="s">
        <v>19</v>
      </c>
      <c r="J53" s="73"/>
      <c r="K53" s="79"/>
      <c r="L53" s="78" t="s">
        <v>18</v>
      </c>
      <c r="M53" s="75" t="s">
        <v>1174</v>
      </c>
      <c r="N53" s="73" t="s">
        <v>1171</v>
      </c>
      <c r="O53" s="75" t="s">
        <v>800</v>
      </c>
      <c r="R53" s="77" t="s">
        <v>953</v>
      </c>
      <c r="S53" s="128" t="str">
        <f t="shared" si="2"/>
        <v>Z:\projects\onc-prj-shr1210\sub-csr\prt-336\09_txt\t-adtte-pfs-ada-sum.txt</v>
      </c>
      <c r="T53" s="128" t="str">
        <f t="shared" si="3"/>
        <v>Z:\projects\onc-prj-shr1210\sub-csr\prt-336\11_output\t14-02-004-001-007-adtte-pfs-ada-sum.rtf</v>
      </c>
    </row>
    <row r="54" spans="1:20" ht="14" customHeight="1" x14ac:dyDescent="0.3">
      <c r="A54" s="74" t="s">
        <v>172</v>
      </c>
      <c r="C54" s="116" t="s">
        <v>303</v>
      </c>
      <c r="D54" s="160" t="s">
        <v>1302</v>
      </c>
      <c r="E54" s="116"/>
      <c r="F54" s="116"/>
      <c r="G54" s="77" t="s">
        <v>700</v>
      </c>
      <c r="H54" s="77" t="s">
        <v>698</v>
      </c>
      <c r="I54" s="77" t="s">
        <v>19</v>
      </c>
      <c r="J54" s="73"/>
      <c r="K54" s="79"/>
      <c r="L54" s="78" t="s">
        <v>18</v>
      </c>
      <c r="M54" s="75" t="s">
        <v>1174</v>
      </c>
      <c r="N54" s="73" t="s">
        <v>1171</v>
      </c>
      <c r="O54" s="75" t="s">
        <v>800</v>
      </c>
      <c r="R54" s="77" t="s">
        <v>954</v>
      </c>
      <c r="S54" s="128" t="str">
        <f t="shared" si="2"/>
        <v>Z:\projects\onc-prj-shr1210\sub-csr\prt-336\09_txt\t-adtte-pfs-nab-sum.txt</v>
      </c>
      <c r="T54" s="128" t="str">
        <f t="shared" si="3"/>
        <v>Z:\projects\onc-prj-shr1210\sub-csr\prt-336\11_output\t14-02-004-001-008-adtte-pfs-nab-sum.rtf</v>
      </c>
    </row>
    <row r="55" spans="1:20" ht="14.15" customHeight="1" x14ac:dyDescent="0.3">
      <c r="A55" s="74" t="s">
        <v>172</v>
      </c>
      <c r="C55" s="116" t="s">
        <v>696</v>
      </c>
      <c r="D55" s="117" t="s">
        <v>697</v>
      </c>
      <c r="E55" s="116"/>
      <c r="F55" s="116"/>
      <c r="G55" s="77" t="s">
        <v>871</v>
      </c>
      <c r="H55" s="77" t="s">
        <v>287</v>
      </c>
      <c r="I55" s="77" t="s">
        <v>19</v>
      </c>
      <c r="J55" s="73"/>
      <c r="K55" s="79"/>
      <c r="L55" s="78" t="s">
        <v>18</v>
      </c>
      <c r="M55" s="75" t="s">
        <v>1175</v>
      </c>
      <c r="N55" s="73" t="s">
        <v>1171</v>
      </c>
      <c r="O55" s="75" t="s">
        <v>800</v>
      </c>
      <c r="R55" s="77" t="s">
        <v>955</v>
      </c>
      <c r="S55" s="128" t="str">
        <f t="shared" si="2"/>
        <v>Z:\projects\onc-prj-shr1210\sub-csr\prt-336\09_txt\t-adtte-pfs-sum-irc-mrecist-sup.txt</v>
      </c>
      <c r="T55" s="128" t="str">
        <f t="shared" si="3"/>
        <v>Z:\projects\onc-prj-shr1210\sub-csr\prt-336\11_output\t14-02-004-001-009-adtte-pfs-sum-irc-mrecist-sup.rtf</v>
      </c>
    </row>
    <row r="56" spans="1:20" ht="14.15" customHeight="1" x14ac:dyDescent="0.3">
      <c r="A56" s="74"/>
      <c r="C56" s="116" t="s">
        <v>1143</v>
      </c>
      <c r="D56" s="117" t="s">
        <v>1145</v>
      </c>
      <c r="E56" s="116"/>
      <c r="F56" s="116"/>
      <c r="G56" s="77" t="s">
        <v>1184</v>
      </c>
      <c r="H56" s="77" t="s">
        <v>287</v>
      </c>
      <c r="I56" t="s">
        <v>19</v>
      </c>
      <c r="J56" s="73"/>
      <c r="K56" s="79"/>
      <c r="L56" s="78" t="s">
        <v>18</v>
      </c>
      <c r="M56" s="75" t="s">
        <v>1175</v>
      </c>
      <c r="N56" s="73" t="s">
        <v>1206</v>
      </c>
      <c r="O56" s="75" t="s">
        <v>800</v>
      </c>
      <c r="R56" s="77" t="s">
        <v>1158</v>
      </c>
      <c r="S56" s="128" t="str">
        <f>HYPERLINK(_xlfn.CONCAT("Z:\projects\onc-prj-shr1210\sub-csr\prt-336\09_txt\",R56))</f>
        <v>Z:\projects\onc-prj-shr1210\sub-csr\prt-336\09_txt\t-adtte-pfs-sum-inv-mrecist-mitt.txt</v>
      </c>
      <c r="T56" s="128" t="str">
        <f>HYPERLINK(_xlfn.CONCAT("Z:\projects\onc-prj-shr1210\sub-csr\prt-336\11_output\",G56))</f>
        <v>Z:\projects\onc-prj-shr1210\sub-csr\prt-336\11_output\t14-02-004-001-010-adtte-pfs-sum-inv-mrecist-mitt.rtf</v>
      </c>
    </row>
    <row r="57" spans="1:20" ht="14.15" customHeight="1" x14ac:dyDescent="0.3">
      <c r="A57" s="74"/>
      <c r="C57" s="116" t="s">
        <v>1144</v>
      </c>
      <c r="D57" s="117" t="s">
        <v>1146</v>
      </c>
      <c r="E57" s="116"/>
      <c r="F57" s="116"/>
      <c r="G57" s="77" t="s">
        <v>1185</v>
      </c>
      <c r="H57" s="77" t="s">
        <v>287</v>
      </c>
      <c r="I57" t="s">
        <v>19</v>
      </c>
      <c r="J57" s="73"/>
      <c r="K57" s="79"/>
      <c r="L57" s="78" t="s">
        <v>18</v>
      </c>
      <c r="M57" s="75" t="s">
        <v>1175</v>
      </c>
      <c r="N57" s="73" t="s">
        <v>1206</v>
      </c>
      <c r="O57" s="75" t="s">
        <v>800</v>
      </c>
      <c r="R57" s="77" t="s">
        <v>1159</v>
      </c>
      <c r="S57" s="128" t="str">
        <f t="shared" ref="S57" si="5">HYPERLINK(_xlfn.CONCAT("Z:\projects\onc-prj-shr1210\sub-csr\prt-336\09_txt\",R57))</f>
        <v>Z:\projects\onc-prj-shr1210\sub-csr\prt-336\09_txt\t-adtte-pfs-sum-irc-mrecist-mitt.txt</v>
      </c>
      <c r="T57" s="128" t="str">
        <f t="shared" ref="T57" si="6">HYPERLINK(_xlfn.CONCAT("Z:\projects\onc-prj-shr1210\sub-csr\prt-336\11_output\",G57))</f>
        <v>Z:\projects\onc-prj-shr1210\sub-csr\prt-336\11_output\t14-02-004-001-011-adtte-pfs-sum-irc-mrecist-mitt.rtf</v>
      </c>
    </row>
    <row r="58" spans="1:20" ht="14.15" customHeight="1" x14ac:dyDescent="0.3">
      <c r="A58" s="74" t="s">
        <v>264</v>
      </c>
      <c r="C58" s="116" t="s">
        <v>304</v>
      </c>
      <c r="D58" s="117" t="s">
        <v>305</v>
      </c>
      <c r="E58" s="116" t="s">
        <v>899</v>
      </c>
      <c r="F58" s="116" t="s">
        <v>1135</v>
      </c>
      <c r="G58" s="77" t="str">
        <f t="shared" ref="G58:G63" si="7">SUBSTITUTE(LEFT(H58,1)&amp;SUBSTITUTE(SUBSTITUTE(C58,".","-00"),"-00","-0",1)&amp;MID(H58,2,100)&amp;".rtf","_","-")</f>
        <v>f14-02-004-002-001-km-pfs-inv-mrecist.rtf</v>
      </c>
      <c r="H58" s="77" t="s">
        <v>711</v>
      </c>
      <c r="I58" s="57" t="s">
        <v>56</v>
      </c>
      <c r="J58" s="73"/>
      <c r="K58" s="79"/>
      <c r="L58" t="s">
        <v>43</v>
      </c>
      <c r="M58" s="75" t="s">
        <v>668</v>
      </c>
      <c r="N58" s="73" t="s">
        <v>1166</v>
      </c>
      <c r="O58" s="75" t="s">
        <v>800</v>
      </c>
      <c r="Q58" s="75" t="s">
        <v>267</v>
      </c>
      <c r="R58" s="77" t="s">
        <v>956</v>
      </c>
      <c r="S58" s="128" t="str">
        <f t="shared" si="2"/>
        <v>Z:\projects\onc-prj-shr1210\sub-csr\prt-336\09_txt\f-km-pfs-inv-mrecist.txt</v>
      </c>
      <c r="T58" s="128" t="str">
        <f t="shared" si="3"/>
        <v>Z:\projects\onc-prj-shr1210\sub-csr\prt-336\11_output\f14-02-004-002-001-km-pfs-inv-mrecist.rtf</v>
      </c>
    </row>
    <row r="59" spans="1:20" ht="14.15" customHeight="1" x14ac:dyDescent="0.3">
      <c r="A59" s="74" t="s">
        <v>264</v>
      </c>
      <c r="C59" s="116" t="s">
        <v>306</v>
      </c>
      <c r="D59" s="117" t="s">
        <v>307</v>
      </c>
      <c r="E59" s="116" t="s">
        <v>899</v>
      </c>
      <c r="F59" s="116" t="s">
        <v>1135</v>
      </c>
      <c r="G59" s="77" t="str">
        <f t="shared" si="7"/>
        <v>f14-02-004-002-002-km-pfs-irc-mrecist.rtf</v>
      </c>
      <c r="H59" s="77" t="s">
        <v>712</v>
      </c>
      <c r="I59" s="57" t="s">
        <v>56</v>
      </c>
      <c r="J59" s="73"/>
      <c r="K59" s="79"/>
      <c r="L59" t="s">
        <v>43</v>
      </c>
      <c r="M59" s="75" t="s">
        <v>668</v>
      </c>
      <c r="N59" s="73" t="s">
        <v>1166</v>
      </c>
      <c r="O59" s="75" t="s">
        <v>800</v>
      </c>
      <c r="Q59" s="75" t="s">
        <v>270</v>
      </c>
      <c r="R59" s="77" t="s">
        <v>957</v>
      </c>
      <c r="S59" s="128" t="str">
        <f t="shared" si="2"/>
        <v>Z:\projects\onc-prj-shr1210\sub-csr\prt-336\09_txt\f-km-pfs-irc-mrecist.txt</v>
      </c>
      <c r="T59" s="128" t="str">
        <f t="shared" si="3"/>
        <v>Z:\projects\onc-prj-shr1210\sub-csr\prt-336\11_output\f14-02-004-002-002-km-pfs-irc-mrecist.rtf</v>
      </c>
    </row>
    <row r="60" spans="1:20" ht="14.15" customHeight="1" x14ac:dyDescent="0.3">
      <c r="A60" s="74" t="s">
        <v>264</v>
      </c>
      <c r="C60" s="116" t="s">
        <v>308</v>
      </c>
      <c r="D60" s="117" t="s">
        <v>309</v>
      </c>
      <c r="E60" s="116" t="s">
        <v>899</v>
      </c>
      <c r="F60" s="145" t="s">
        <v>1150</v>
      </c>
      <c r="G60" s="77" t="str">
        <f t="shared" si="7"/>
        <v>f14-02-004-002-003-km-pfs-inv-recist11.rtf</v>
      </c>
      <c r="H60" s="77" t="s">
        <v>713</v>
      </c>
      <c r="I60" s="57" t="s">
        <v>56</v>
      </c>
      <c r="J60" s="73"/>
      <c r="K60" s="79"/>
      <c r="L60" t="s">
        <v>43</v>
      </c>
      <c r="M60" s="75" t="s">
        <v>668</v>
      </c>
      <c r="N60" s="73" t="s">
        <v>1166</v>
      </c>
      <c r="O60" s="75" t="s">
        <v>800</v>
      </c>
      <c r="Q60" s="75" t="s">
        <v>267</v>
      </c>
      <c r="R60" s="77" t="s">
        <v>958</v>
      </c>
      <c r="S60" s="128" t="str">
        <f t="shared" si="2"/>
        <v>Z:\projects\onc-prj-shr1210\sub-csr\prt-336\09_txt\f-km-pfs-inv-recist11.txt</v>
      </c>
      <c r="T60" s="128" t="str">
        <f t="shared" si="3"/>
        <v>Z:\projects\onc-prj-shr1210\sub-csr\prt-336\11_output\f14-02-004-002-003-km-pfs-inv-recist11.rtf</v>
      </c>
    </row>
    <row r="61" spans="1:20" ht="14.15" customHeight="1" x14ac:dyDescent="0.3">
      <c r="A61" s="74" t="s">
        <v>264</v>
      </c>
      <c r="C61" s="116" t="s">
        <v>310</v>
      </c>
      <c r="D61" s="117" t="s">
        <v>311</v>
      </c>
      <c r="E61" s="116" t="s">
        <v>899</v>
      </c>
      <c r="F61" s="116" t="s">
        <v>1135</v>
      </c>
      <c r="G61" s="77" t="str">
        <f t="shared" si="7"/>
        <v>f14-02-004-002-004-km-pfs-irc-recist11.rtf</v>
      </c>
      <c r="H61" s="77" t="s">
        <v>714</v>
      </c>
      <c r="I61" s="57" t="s">
        <v>56</v>
      </c>
      <c r="J61" s="73"/>
      <c r="K61" s="79"/>
      <c r="L61" t="s">
        <v>43</v>
      </c>
      <c r="M61" s="75" t="s">
        <v>668</v>
      </c>
      <c r="N61" s="73" t="s">
        <v>1166</v>
      </c>
      <c r="O61" s="75" t="s">
        <v>800</v>
      </c>
      <c r="Q61" s="75" t="s">
        <v>270</v>
      </c>
      <c r="R61" s="77" t="s">
        <v>959</v>
      </c>
      <c r="S61" s="128" t="str">
        <f t="shared" si="2"/>
        <v>Z:\projects\onc-prj-shr1210\sub-csr\prt-336\09_txt\f-km-pfs-irc-recist11.txt</v>
      </c>
      <c r="T61" s="128" t="str">
        <f t="shared" si="3"/>
        <v>Z:\projects\onc-prj-shr1210\sub-csr\prt-336\11_output\f14-02-004-002-004-km-pfs-irc-recist11.rtf</v>
      </c>
    </row>
    <row r="62" spans="1:20" ht="15.5" customHeight="1" x14ac:dyDescent="0.3">
      <c r="A62" s="74" t="s">
        <v>264</v>
      </c>
      <c r="C62" s="116" t="s">
        <v>312</v>
      </c>
      <c r="D62" s="160" t="s">
        <v>1303</v>
      </c>
      <c r="E62" s="116"/>
      <c r="F62" s="116"/>
      <c r="G62" s="77" t="str">
        <f t="shared" si="7"/>
        <v>f14-02-004-002-005-km-pfs-irc-mrecist-ada.rtf</v>
      </c>
      <c r="H62" s="77" t="s">
        <v>715</v>
      </c>
      <c r="I62" s="57" t="s">
        <v>56</v>
      </c>
      <c r="J62" s="73"/>
      <c r="K62" s="79"/>
      <c r="L62" s="77" t="s">
        <v>43</v>
      </c>
      <c r="M62" s="75" t="s">
        <v>1167</v>
      </c>
      <c r="N62" s="73" t="s">
        <v>1166</v>
      </c>
      <c r="O62" s="75" t="s">
        <v>800</v>
      </c>
      <c r="Q62" s="75" t="s">
        <v>270</v>
      </c>
      <c r="R62" s="77" t="s">
        <v>960</v>
      </c>
      <c r="S62" s="128" t="str">
        <f t="shared" si="2"/>
        <v>Z:\projects\onc-prj-shr1210\sub-csr\prt-336\09_txt\f-km-pfs-irc-mrecist-ada.txt</v>
      </c>
      <c r="T62" s="128" t="str">
        <f t="shared" si="3"/>
        <v>Z:\projects\onc-prj-shr1210\sub-csr\prt-336\11_output\f14-02-004-002-005-km-pfs-irc-mrecist-ada.rtf</v>
      </c>
    </row>
    <row r="63" spans="1:20" ht="14.15" customHeight="1" x14ac:dyDescent="0.3">
      <c r="A63" s="74" t="s">
        <v>264</v>
      </c>
      <c r="C63" s="116" t="s">
        <v>313</v>
      </c>
      <c r="D63" s="160" t="s">
        <v>1304</v>
      </c>
      <c r="E63" s="116"/>
      <c r="F63" s="116"/>
      <c r="G63" s="77" t="str">
        <f t="shared" si="7"/>
        <v>f14-02-004-002-006-km-pfs-irc-mrecist-nab.rtf</v>
      </c>
      <c r="H63" s="77" t="s">
        <v>716</v>
      </c>
      <c r="I63" s="57" t="s">
        <v>56</v>
      </c>
      <c r="J63" s="73"/>
      <c r="K63" s="79"/>
      <c r="L63" s="77" t="s">
        <v>43</v>
      </c>
      <c r="M63" s="75" t="s">
        <v>1167</v>
      </c>
      <c r="N63" s="73" t="s">
        <v>1166</v>
      </c>
      <c r="O63" s="75" t="s">
        <v>800</v>
      </c>
      <c r="Q63" s="75" t="s">
        <v>270</v>
      </c>
      <c r="R63" s="77" t="s">
        <v>961</v>
      </c>
      <c r="S63" s="128" t="str">
        <f t="shared" si="2"/>
        <v>Z:\projects\onc-prj-shr1210\sub-csr\prt-336\09_txt\f-km-pfs-irc-mrecist-nab.txt</v>
      </c>
      <c r="T63" s="128" t="str">
        <f t="shared" si="3"/>
        <v>Z:\projects\onc-prj-shr1210\sub-csr\prt-336\11_output\f14-02-004-002-006-km-pfs-irc-mrecist-nab.rtf</v>
      </c>
    </row>
    <row r="64" spans="1:20" ht="14.15" customHeight="1" x14ac:dyDescent="0.3">
      <c r="A64" s="74" t="s">
        <v>172</v>
      </c>
      <c r="C64" s="116" t="s">
        <v>866</v>
      </c>
      <c r="D64" s="117" t="s">
        <v>1152</v>
      </c>
      <c r="E64" s="119" t="s">
        <v>1127</v>
      </c>
      <c r="F64" s="119" t="s">
        <v>1154</v>
      </c>
      <c r="G64" s="77" t="s">
        <v>1155</v>
      </c>
      <c r="H64" s="77" t="s">
        <v>1163</v>
      </c>
      <c r="I64" s="77" t="s">
        <v>19</v>
      </c>
      <c r="J64" s="73" t="s">
        <v>892</v>
      </c>
      <c r="K64" s="79" t="s">
        <v>780</v>
      </c>
      <c r="L64" s="78" t="s">
        <v>18</v>
      </c>
      <c r="M64" s="75" t="s">
        <v>1204</v>
      </c>
      <c r="N64" s="73" t="s">
        <v>1200</v>
      </c>
      <c r="O64" s="75" t="s">
        <v>1201</v>
      </c>
      <c r="R64" s="77" t="s">
        <v>1160</v>
      </c>
      <c r="S64" s="128" t="str">
        <f t="shared" si="2"/>
        <v>Z:\projects\onc-prj-shr1210\sub-csr\prt-336\09_txt\t-adslrs-pd-diff-mrecist.txt</v>
      </c>
      <c r="T64" s="128" t="str">
        <f t="shared" si="3"/>
        <v>Z:\projects\onc-prj-shr1210\sub-csr\prt-336\11_output\t14-02-004-002-007-adslrs-pd-diff-mrecist.rtf</v>
      </c>
    </row>
    <row r="65" spans="1:20" ht="14.15" customHeight="1" x14ac:dyDescent="0.3">
      <c r="A65" s="74"/>
      <c r="C65" s="116" t="s">
        <v>1151</v>
      </c>
      <c r="D65" s="117" t="s">
        <v>1153</v>
      </c>
      <c r="E65" s="119"/>
      <c r="F65" s="119" t="s">
        <v>1154</v>
      </c>
      <c r="G65" s="77" t="s">
        <v>1156</v>
      </c>
      <c r="H65" s="77" t="s">
        <v>1164</v>
      </c>
      <c r="I65" s="77" t="s">
        <v>19</v>
      </c>
      <c r="J65" s="73"/>
      <c r="K65" s="79" t="s">
        <v>780</v>
      </c>
      <c r="L65" s="78" t="s">
        <v>18</v>
      </c>
      <c r="M65" s="75" t="s">
        <v>1204</v>
      </c>
      <c r="N65" s="73" t="s">
        <v>1200</v>
      </c>
      <c r="O65" s="75" t="s">
        <v>1201</v>
      </c>
      <c r="R65" s="77" t="s">
        <v>1161</v>
      </c>
      <c r="S65" s="128" t="str">
        <f t="shared" si="2"/>
        <v>Z:\projects\onc-prj-shr1210\sub-csr\prt-336\09_txt\t-adslrs-pd-diff-recist.txt</v>
      </c>
      <c r="T65" s="128" t="str">
        <f t="shared" si="3"/>
        <v>Z:\projects\onc-prj-shr1210\sub-csr\prt-336\11_output\t14-02-004-002-008-adslrs-pd-diff-recist.rtf</v>
      </c>
    </row>
    <row r="66" spans="1:20" ht="14.15" customHeight="1" x14ac:dyDescent="0.3">
      <c r="A66" s="74" t="s">
        <v>264</v>
      </c>
      <c r="C66" s="116" t="s">
        <v>314</v>
      </c>
      <c r="D66" s="117" t="s">
        <v>315</v>
      </c>
      <c r="E66" s="116" t="s">
        <v>899</v>
      </c>
      <c r="F66" s="116" t="s">
        <v>1135</v>
      </c>
      <c r="G66" s="77" t="str">
        <f>SUBSTITUTE(LEFT(H66,1)&amp;SUBSTITUTE(SUBSTITUTE(C66,".","-00"),"-00","-0",1)&amp;MID(H66,2,100)&amp;".rtf","_","-")</f>
        <v>f14-02-004-003-forest-pfs-irc-mrecist.rtf</v>
      </c>
      <c r="H66" s="77" t="s">
        <v>1188</v>
      </c>
      <c r="I66" s="57" t="s">
        <v>56</v>
      </c>
      <c r="J66" s="73"/>
      <c r="K66" s="79"/>
      <c r="L66" s="57" t="s">
        <v>18</v>
      </c>
      <c r="M66" s="147" t="s">
        <v>1203</v>
      </c>
      <c r="N66" s="73" t="s">
        <v>1207</v>
      </c>
      <c r="O66" s="75" t="s">
        <v>1201</v>
      </c>
      <c r="R66" s="77" t="s">
        <v>1189</v>
      </c>
      <c r="S66" s="128" t="str">
        <f t="shared" si="2"/>
        <v>Z:\projects\onc-prj-shr1210\sub-csr\prt-336\09_txt\f-forest-pfs-irc-mrecist.txt</v>
      </c>
      <c r="T66" s="128" t="str">
        <f t="shared" si="3"/>
        <v>Z:\projects\onc-prj-shr1210\sub-csr\prt-336\11_output\f14-02-004-003-forest-pfs-irc-mrecist.rtf</v>
      </c>
    </row>
    <row r="67" spans="1:20" ht="14.15" customHeight="1" x14ac:dyDescent="0.3">
      <c r="A67" s="74"/>
      <c r="C67" s="116" t="s">
        <v>1186</v>
      </c>
      <c r="D67" s="117" t="s">
        <v>1187</v>
      </c>
      <c r="E67" s="116"/>
      <c r="F67" s="116"/>
      <c r="G67" s="77" t="str">
        <f>SUBSTITUTE(LEFT(H67,1)&amp;SUBSTITUTE(SUBSTITUTE(C67,".","-00"),"-00","-0",1)&amp;MID(H67,2,100)&amp;".rtf","_","-")</f>
        <v>f14-02-004-004-forest-pfs-irc-recist11.rtf</v>
      </c>
      <c r="H67" s="77" t="s">
        <v>717</v>
      </c>
      <c r="I67" s="57" t="s">
        <v>56</v>
      </c>
      <c r="J67" s="73"/>
      <c r="K67" s="79"/>
      <c r="L67" s="57" t="s">
        <v>18</v>
      </c>
      <c r="M67" s="147" t="s">
        <v>1203</v>
      </c>
      <c r="N67" s="73" t="s">
        <v>1207</v>
      </c>
      <c r="O67" s="75" t="s">
        <v>1201</v>
      </c>
      <c r="R67" s="77" t="s">
        <v>962</v>
      </c>
      <c r="S67" s="128" t="str">
        <f t="shared" si="2"/>
        <v>Z:\projects\onc-prj-shr1210\sub-csr\prt-336\09_txt\f-forest-pfs-irc-recist11.txt</v>
      </c>
      <c r="T67" s="128" t="str">
        <f t="shared" si="3"/>
        <v>Z:\projects\onc-prj-shr1210\sub-csr\prt-336\11_output\f14-02-004-004-forest-pfs-irc-recist11.rtf</v>
      </c>
    </row>
    <row r="68" spans="1:20" ht="14.15" customHeight="1" x14ac:dyDescent="0.3">
      <c r="A68" s="74" t="s">
        <v>172</v>
      </c>
      <c r="C68" s="116" t="s">
        <v>316</v>
      </c>
      <c r="D68" s="117" t="s">
        <v>317</v>
      </c>
      <c r="E68" s="132" t="s">
        <v>1135</v>
      </c>
      <c r="F68" s="132" t="s">
        <v>1135</v>
      </c>
      <c r="G68" s="77" t="s">
        <v>669</v>
      </c>
      <c r="H68" s="77" t="s">
        <v>840</v>
      </c>
      <c r="I68" s="57" t="s">
        <v>18</v>
      </c>
      <c r="K68" s="79"/>
      <c r="L68" s="77" t="s">
        <v>43</v>
      </c>
      <c r="M68" s="75" t="s">
        <v>670</v>
      </c>
      <c r="N68" s="73" t="s">
        <v>1168</v>
      </c>
      <c r="O68" s="75" t="s">
        <v>800</v>
      </c>
      <c r="R68" s="77" t="s">
        <v>963</v>
      </c>
      <c r="S68" s="128" t="str">
        <f t="shared" si="2"/>
        <v>Z:\projects\onc-prj-shr1210\sub-csr\prt-336\09_txt\t_adslrs_ce.txt</v>
      </c>
      <c r="T68" s="128" t="str">
        <f t="shared" si="3"/>
        <v>Z:\projects\onc-prj-shr1210\sub-csr\prt-336\11_output\t14-02-006-adslrs-ce.rtf</v>
      </c>
    </row>
    <row r="69" spans="1:20" ht="14.15" customHeight="1" x14ac:dyDescent="0.3">
      <c r="A69" s="74" t="s">
        <v>172</v>
      </c>
      <c r="C69" s="116" t="s">
        <v>318</v>
      </c>
      <c r="D69" s="117" t="s">
        <v>319</v>
      </c>
      <c r="E69" s="116" t="s">
        <v>899</v>
      </c>
      <c r="F69" s="116" t="s">
        <v>1135</v>
      </c>
      <c r="G69" s="77" t="str">
        <f t="shared" ref="G69:G79" si="8">SUBSTITUTE(LEFT(H69,1)&amp;SUBSTITUTE(SUBSTITUTE(C69,".","-00"),"-00","-0",1)&amp;MID(H69,2,100)&amp;".rtf","_","-")</f>
        <v>t14-03-001-001-001-teae-sum.rtf</v>
      </c>
      <c r="H69" s="77" t="s">
        <v>718</v>
      </c>
      <c r="I69" s="57" t="s">
        <v>56</v>
      </c>
      <c r="K69" s="79"/>
      <c r="L69" t="s">
        <v>43</v>
      </c>
      <c r="M69" s="75" t="s">
        <v>320</v>
      </c>
      <c r="N69" s="73" t="s">
        <v>1168</v>
      </c>
      <c r="O69" s="75" t="s">
        <v>800</v>
      </c>
      <c r="Q69" s="75" t="s">
        <v>702</v>
      </c>
      <c r="R69" s="77" t="s">
        <v>964</v>
      </c>
      <c r="S69" s="128" t="str">
        <f t="shared" si="2"/>
        <v>Z:\projects\onc-prj-shr1210\sub-csr\prt-336\09_txt\t-teae-sum.txt</v>
      </c>
      <c r="T69" s="128" t="str">
        <f t="shared" si="3"/>
        <v>Z:\projects\onc-prj-shr1210\sub-csr\prt-336\11_output\t14-03-001-001-001-teae-sum.rtf</v>
      </c>
    </row>
    <row r="70" spans="1:20" ht="14.15" customHeight="1" x14ac:dyDescent="0.3">
      <c r="A70" s="74" t="s">
        <v>172</v>
      </c>
      <c r="C70" s="116" t="s">
        <v>867</v>
      </c>
      <c r="D70" s="117" t="s">
        <v>829</v>
      </c>
      <c r="E70" s="116" t="s">
        <v>899</v>
      </c>
      <c r="F70" s="145" t="s">
        <v>1150</v>
      </c>
      <c r="G70" s="77" t="str">
        <f t="shared" si="8"/>
        <v>t14-03-001-001-002-001-teae-socpt.rtf</v>
      </c>
      <c r="H70" s="77" t="s">
        <v>719</v>
      </c>
      <c r="I70" s="57" t="s">
        <v>56</v>
      </c>
      <c r="K70" s="79"/>
      <c r="L70" s="77" t="s">
        <v>43</v>
      </c>
      <c r="M70" s="75" t="s">
        <v>1138</v>
      </c>
      <c r="N70" s="73" t="s">
        <v>1166</v>
      </c>
      <c r="O70" s="75" t="s">
        <v>800</v>
      </c>
      <c r="R70" s="77" t="s">
        <v>965</v>
      </c>
      <c r="S70" s="128" t="str">
        <f t="shared" si="2"/>
        <v>Z:\projects\onc-prj-shr1210\sub-csr\prt-336\09_txt\t-teae-socpt.txt</v>
      </c>
      <c r="T70" s="128" t="str">
        <f t="shared" si="3"/>
        <v>Z:\projects\onc-prj-shr1210\sub-csr\prt-336\11_output\t14-03-001-001-002-001-teae-socpt.rtf</v>
      </c>
    </row>
    <row r="71" spans="1:20" ht="14.15" customHeight="1" x14ac:dyDescent="0.3">
      <c r="A71" s="74" t="s">
        <v>172</v>
      </c>
      <c r="C71" s="76" t="s">
        <v>321</v>
      </c>
      <c r="D71" s="117" t="s">
        <v>828</v>
      </c>
      <c r="E71" s="124" t="s">
        <v>899</v>
      </c>
      <c r="F71" s="124"/>
      <c r="G71" s="77" t="str">
        <f t="shared" si="8"/>
        <v>t14-03-001-001-003-001-teae-ctc-socpt.rtf</v>
      </c>
      <c r="H71" s="77" t="s">
        <v>827</v>
      </c>
      <c r="I71" s="57" t="s">
        <v>56</v>
      </c>
      <c r="K71" s="79"/>
      <c r="L71" t="s">
        <v>43</v>
      </c>
      <c r="M71" s="75" t="s">
        <v>322</v>
      </c>
      <c r="N71" s="73" t="s">
        <v>1166</v>
      </c>
      <c r="O71" s="75" t="s">
        <v>800</v>
      </c>
      <c r="Q71" s="75" t="s">
        <v>851</v>
      </c>
      <c r="R71" s="77" t="s">
        <v>966</v>
      </c>
      <c r="S71" s="128" t="str">
        <f t="shared" si="2"/>
        <v>Z:\projects\onc-prj-shr1210\sub-csr\prt-336\09_txt\t-teae-ctc-socpt.txt</v>
      </c>
      <c r="T71" s="128" t="str">
        <f t="shared" si="3"/>
        <v>Z:\projects\onc-prj-shr1210\sub-csr\prt-336\11_output\t14-03-001-001-003-001-teae-ctc-socpt.rtf</v>
      </c>
    </row>
    <row r="72" spans="1:20" ht="14.15" customHeight="1" x14ac:dyDescent="0.3">
      <c r="A72" s="74" t="s">
        <v>172</v>
      </c>
      <c r="C72" s="76" t="s">
        <v>323</v>
      </c>
      <c r="D72" s="117" t="s">
        <v>781</v>
      </c>
      <c r="E72" s="124" t="s">
        <v>899</v>
      </c>
      <c r="F72" s="133" t="s">
        <v>1135</v>
      </c>
      <c r="G72" s="77" t="str">
        <f t="shared" si="8"/>
        <v>t14-03-001-001-003-002-teae-socpt-tr.rtf</v>
      </c>
      <c r="H72" s="77" t="s">
        <v>720</v>
      </c>
      <c r="I72" s="57" t="s">
        <v>56</v>
      </c>
      <c r="K72" s="79"/>
      <c r="L72" t="s">
        <v>43</v>
      </c>
      <c r="M72" s="75" t="s">
        <v>1138</v>
      </c>
      <c r="N72" s="73" t="s">
        <v>1166</v>
      </c>
      <c r="O72" s="75" t="s">
        <v>800</v>
      </c>
      <c r="Q72" s="80" t="s">
        <v>831</v>
      </c>
      <c r="R72" s="77" t="s">
        <v>967</v>
      </c>
      <c r="S72" s="128" t="str">
        <f t="shared" si="2"/>
        <v>Z:\projects\onc-prj-shr1210\sub-csr\prt-336\09_txt\t-teae-socpt-tr.txt</v>
      </c>
      <c r="T72" s="128" t="str">
        <f t="shared" si="3"/>
        <v>Z:\projects\onc-prj-shr1210\sub-csr\prt-336\11_output\t14-03-001-001-003-002-teae-socpt-tr.rtf</v>
      </c>
    </row>
    <row r="73" spans="1:20" ht="14.15" customHeight="1" x14ac:dyDescent="0.3">
      <c r="A73" s="74" t="s">
        <v>172</v>
      </c>
      <c r="C73" s="76" t="s">
        <v>324</v>
      </c>
      <c r="D73" s="117" t="s">
        <v>782</v>
      </c>
      <c r="E73" s="110"/>
      <c r="F73" s="110"/>
      <c r="G73" s="77" t="str">
        <f t="shared" si="8"/>
        <v>t14-03-001-001-003-003-teae-socpt-inv.rtf</v>
      </c>
      <c r="H73" s="77" t="s">
        <v>721</v>
      </c>
      <c r="I73" s="57" t="s">
        <v>56</v>
      </c>
      <c r="K73" s="79"/>
      <c r="L73" t="s">
        <v>43</v>
      </c>
      <c r="M73" s="75" t="s">
        <v>1139</v>
      </c>
      <c r="N73" s="73" t="s">
        <v>1166</v>
      </c>
      <c r="O73" s="75" t="s">
        <v>800</v>
      </c>
      <c r="Q73" s="103" t="s">
        <v>1208</v>
      </c>
      <c r="R73" s="77" t="s">
        <v>968</v>
      </c>
      <c r="S73" s="128" t="str">
        <f t="shared" ref="S73:S104" si="9">HYPERLINK(_xlfn.CONCAT("Z:\projects\onc-prj-shr1210\sub-csr\prt-336\09_txt\",R73))</f>
        <v>Z:\projects\onc-prj-shr1210\sub-csr\prt-336\09_txt\t-teae-socpt-inv.txt</v>
      </c>
      <c r="T73" s="128" t="str">
        <f t="shared" ref="T73:T104" si="10">HYPERLINK(_xlfn.CONCAT("Z:\projects\onc-prj-shr1210\sub-csr\prt-336\11_output\",G73))</f>
        <v>Z:\projects\onc-prj-shr1210\sub-csr\prt-336\11_output\t14-03-001-001-003-003-teae-socpt-inv.rtf</v>
      </c>
    </row>
    <row r="74" spans="1:20" ht="14.15" customHeight="1" x14ac:dyDescent="0.3">
      <c r="A74" s="74" t="s">
        <v>172</v>
      </c>
      <c r="C74" s="76" t="s">
        <v>325</v>
      </c>
      <c r="D74" s="129" t="s">
        <v>783</v>
      </c>
      <c r="E74" s="110"/>
      <c r="F74" s="110"/>
      <c r="G74" s="77" t="str">
        <f t="shared" si="8"/>
        <v>t14-03-001-001-003-004-teae-socpt-cam.rtf</v>
      </c>
      <c r="H74" s="77" t="s">
        <v>722</v>
      </c>
      <c r="I74" s="57" t="s">
        <v>56</v>
      </c>
      <c r="K74" s="79"/>
      <c r="L74" t="s">
        <v>43</v>
      </c>
      <c r="M74" s="75" t="s">
        <v>1139</v>
      </c>
      <c r="N74" s="73" t="s">
        <v>1166</v>
      </c>
      <c r="O74" s="75" t="s">
        <v>800</v>
      </c>
      <c r="Q74" s="80" t="s">
        <v>832</v>
      </c>
      <c r="R74" s="77" t="s">
        <v>969</v>
      </c>
      <c r="S74" s="128" t="str">
        <f t="shared" si="9"/>
        <v>Z:\projects\onc-prj-shr1210\sub-csr\prt-336\09_txt\t-teae-socpt-cam.txt</v>
      </c>
      <c r="T74" s="128" t="str">
        <f t="shared" si="10"/>
        <v>Z:\projects\onc-prj-shr1210\sub-csr\prt-336\11_output\t14-03-001-001-003-004-teae-socpt-cam.rtf</v>
      </c>
    </row>
    <row r="75" spans="1:20" ht="14.15" customHeight="1" x14ac:dyDescent="0.3">
      <c r="A75" s="74" t="s">
        <v>172</v>
      </c>
      <c r="C75" s="76" t="s">
        <v>326</v>
      </c>
      <c r="D75" s="129" t="s">
        <v>784</v>
      </c>
      <c r="E75" s="110"/>
      <c r="F75" s="110"/>
      <c r="G75" s="77" t="str">
        <f t="shared" si="8"/>
        <v>t14-03-001-001-003-005-teae-socpt-apt.rtf</v>
      </c>
      <c r="H75" s="77" t="s">
        <v>723</v>
      </c>
      <c r="I75" s="57" t="s">
        <v>56</v>
      </c>
      <c r="K75" s="79"/>
      <c r="L75" t="s">
        <v>43</v>
      </c>
      <c r="M75" s="75" t="s">
        <v>1139</v>
      </c>
      <c r="N75" s="73" t="s">
        <v>1166</v>
      </c>
      <c r="O75" s="75" t="s">
        <v>800</v>
      </c>
      <c r="Q75" s="80" t="s">
        <v>833</v>
      </c>
      <c r="R75" s="77" t="s">
        <v>970</v>
      </c>
      <c r="S75" s="128" t="str">
        <f t="shared" si="9"/>
        <v>Z:\projects\onc-prj-shr1210\sub-csr\prt-336\09_txt\t-teae-socpt-apt.txt</v>
      </c>
      <c r="T75" s="128" t="str">
        <f t="shared" si="10"/>
        <v>Z:\projects\onc-prj-shr1210\sub-csr\prt-336\11_output\t14-03-001-001-003-005-teae-socpt-apt.rtf</v>
      </c>
    </row>
    <row r="76" spans="1:20" ht="14.15" customHeight="1" x14ac:dyDescent="0.3">
      <c r="A76" s="74" t="s">
        <v>172</v>
      </c>
      <c r="C76" s="76" t="s">
        <v>327</v>
      </c>
      <c r="D76" s="156" t="s">
        <v>1221</v>
      </c>
      <c r="E76" s="110"/>
      <c r="F76" s="110"/>
      <c r="G76" s="77" t="str">
        <f t="shared" si="8"/>
        <v>t14-03-001-001-003-006-teae-socpt-tace.rtf</v>
      </c>
      <c r="H76" s="77" t="s">
        <v>724</v>
      </c>
      <c r="I76" s="57" t="s">
        <v>56</v>
      </c>
      <c r="K76" s="79"/>
      <c r="L76" t="s">
        <v>43</v>
      </c>
      <c r="M76" s="75" t="s">
        <v>1138</v>
      </c>
      <c r="N76" s="73" t="s">
        <v>1166</v>
      </c>
      <c r="O76" s="75" t="s">
        <v>800</v>
      </c>
      <c r="Q76" s="80" t="s">
        <v>834</v>
      </c>
      <c r="R76" s="77" t="s">
        <v>971</v>
      </c>
      <c r="S76" s="128" t="str">
        <f t="shared" si="9"/>
        <v>Z:\projects\onc-prj-shr1210\sub-csr\prt-336\09_txt\t-teae-socpt-tace.txt</v>
      </c>
      <c r="T76" s="128" t="str">
        <f t="shared" si="10"/>
        <v>Z:\projects\onc-prj-shr1210\sub-csr\prt-336\11_output\t14-03-001-001-003-006-teae-socpt-tace.rtf</v>
      </c>
    </row>
    <row r="77" spans="1:20" ht="14.15" customHeight="1" x14ac:dyDescent="0.3">
      <c r="A77" s="74" t="s">
        <v>172</v>
      </c>
      <c r="C77" s="76" t="s">
        <v>328</v>
      </c>
      <c r="D77" s="129" t="s">
        <v>785</v>
      </c>
      <c r="E77" s="110"/>
      <c r="F77" s="110"/>
      <c r="G77" s="77" t="str">
        <f t="shared" si="8"/>
        <v>t14-03-001-001-003-007-teae-socpt-ge5.rtf</v>
      </c>
      <c r="H77" s="77" t="s">
        <v>725</v>
      </c>
      <c r="I77" s="57" t="s">
        <v>56</v>
      </c>
      <c r="K77" s="79"/>
      <c r="L77" t="s">
        <v>43</v>
      </c>
      <c r="M77" s="75" t="s">
        <v>1138</v>
      </c>
      <c r="N77" s="73" t="s">
        <v>1166</v>
      </c>
      <c r="O77" s="75" t="s">
        <v>800</v>
      </c>
      <c r="Q77" s="75" t="s">
        <v>830</v>
      </c>
      <c r="R77" s="77" t="s">
        <v>972</v>
      </c>
      <c r="S77" s="128" t="str">
        <f t="shared" si="9"/>
        <v>Z:\projects\onc-prj-shr1210\sub-csr\prt-336\09_txt\t-teae-socpt-ge5.txt</v>
      </c>
      <c r="T77" s="128" t="str">
        <f t="shared" si="10"/>
        <v>Z:\projects\onc-prj-shr1210\sub-csr\prt-336\11_output\t14-03-001-001-003-007-teae-socpt-ge5.rtf</v>
      </c>
    </row>
    <row r="78" spans="1:20" ht="14.15" customHeight="1" x14ac:dyDescent="0.3">
      <c r="A78" s="74" t="s">
        <v>172</v>
      </c>
      <c r="C78" s="116" t="s">
        <v>329</v>
      </c>
      <c r="D78" s="138" t="s">
        <v>884</v>
      </c>
      <c r="E78" s="118"/>
      <c r="F78" s="118"/>
      <c r="G78" s="77" t="str">
        <f t="shared" si="8"/>
        <v>t14-03-001-001-003-008-teae-socpt-ge5-rel.rtf</v>
      </c>
      <c r="H78" s="77" t="s">
        <v>726</v>
      </c>
      <c r="I78" s="57" t="s">
        <v>56</v>
      </c>
      <c r="K78" s="79"/>
      <c r="L78" t="s">
        <v>43</v>
      </c>
      <c r="M78" s="75" t="s">
        <v>1138</v>
      </c>
      <c r="N78" s="73" t="s">
        <v>1166</v>
      </c>
      <c r="O78" s="75" t="s">
        <v>800</v>
      </c>
      <c r="Q78" s="80" t="s">
        <v>831</v>
      </c>
      <c r="R78" s="77" t="s">
        <v>973</v>
      </c>
      <c r="S78" s="128" t="str">
        <f t="shared" si="9"/>
        <v>Z:\projects\onc-prj-shr1210\sub-csr\prt-336\09_txt\t-teae-socpt-ge5-rel.txt</v>
      </c>
      <c r="T78" s="128" t="str">
        <f t="shared" si="10"/>
        <v>Z:\projects\onc-prj-shr1210\sub-csr\prt-336\11_output\t14-03-001-001-003-008-teae-socpt-ge5-rel.rtf</v>
      </c>
    </row>
    <row r="79" spans="1:20" ht="14.15" customHeight="1" x14ac:dyDescent="0.3">
      <c r="A79" s="74" t="s">
        <v>172</v>
      </c>
      <c r="C79" s="116" t="s">
        <v>330</v>
      </c>
      <c r="D79" s="138" t="s">
        <v>885</v>
      </c>
      <c r="E79" s="118"/>
      <c r="F79" s="118"/>
      <c r="G79" s="77" t="str">
        <f t="shared" si="8"/>
        <v>t14-03-001-001-003-009-teae-socpt-ge5-inv-rel.rtf</v>
      </c>
      <c r="H79" s="77" t="s">
        <v>727</v>
      </c>
      <c r="I79" s="57" t="s">
        <v>56</v>
      </c>
      <c r="K79" s="79"/>
      <c r="L79" t="s">
        <v>43</v>
      </c>
      <c r="M79" s="75" t="s">
        <v>1139</v>
      </c>
      <c r="N79" s="73" t="s">
        <v>1166</v>
      </c>
      <c r="O79" s="75" t="s">
        <v>800</v>
      </c>
      <c r="Q79" s="103" t="s">
        <v>1208</v>
      </c>
      <c r="R79" s="77" t="s">
        <v>974</v>
      </c>
      <c r="S79" s="128" t="str">
        <f t="shared" si="9"/>
        <v>Z:\projects\onc-prj-shr1210\sub-csr\prt-336\09_txt\t-teae-socpt-ge5-inv-rel.txt</v>
      </c>
      <c r="T79" s="128" t="str">
        <f t="shared" si="10"/>
        <v>Z:\projects\onc-prj-shr1210\sub-csr\prt-336\11_output\t14-03-001-001-003-009-teae-socpt-ge5-inv-rel.rtf</v>
      </c>
    </row>
    <row r="80" spans="1:20" ht="14.15" customHeight="1" x14ac:dyDescent="0.3">
      <c r="A80" s="74" t="s">
        <v>172</v>
      </c>
      <c r="C80" s="116" t="s">
        <v>331</v>
      </c>
      <c r="D80" s="138" t="s">
        <v>786</v>
      </c>
      <c r="E80" s="118"/>
      <c r="F80" s="118"/>
      <c r="G80" s="77" t="s">
        <v>1097</v>
      </c>
      <c r="H80" s="77" t="s">
        <v>728</v>
      </c>
      <c r="I80" s="57" t="s">
        <v>56</v>
      </c>
      <c r="K80" s="79"/>
      <c r="L80" t="s">
        <v>43</v>
      </c>
      <c r="M80" s="75" t="s">
        <v>1139</v>
      </c>
      <c r="N80" s="73" t="s">
        <v>1166</v>
      </c>
      <c r="O80" s="75" t="s">
        <v>800</v>
      </c>
      <c r="Q80" s="80" t="s">
        <v>832</v>
      </c>
      <c r="R80" s="77" t="s">
        <v>975</v>
      </c>
      <c r="S80" s="128" t="str">
        <f t="shared" si="9"/>
        <v>Z:\projects\onc-prj-shr1210\sub-csr\prt-336\09_txt\t-teae-socpt-ge5-cam-rel.txt</v>
      </c>
      <c r="T80" s="128" t="str">
        <f t="shared" si="10"/>
        <v>Z:\projects\onc-prj-shr1210\sub-csr\prt-336\11_output\t14-03-001-001-003-010-teae-socpt-ge5-cam-rel.rtf</v>
      </c>
    </row>
    <row r="81" spans="1:20" ht="14.15" customHeight="1" x14ac:dyDescent="0.3">
      <c r="A81" s="74" t="s">
        <v>172</v>
      </c>
      <c r="C81" s="116" t="s">
        <v>332</v>
      </c>
      <c r="D81" s="138" t="s">
        <v>787</v>
      </c>
      <c r="E81" s="118"/>
      <c r="F81" s="118"/>
      <c r="G81" s="77" t="s">
        <v>1098</v>
      </c>
      <c r="H81" s="77" t="s">
        <v>729</v>
      </c>
      <c r="I81" s="57" t="s">
        <v>56</v>
      </c>
      <c r="K81" s="79"/>
      <c r="L81" t="s">
        <v>43</v>
      </c>
      <c r="M81" s="75" t="s">
        <v>1139</v>
      </c>
      <c r="N81" s="73" t="s">
        <v>1166</v>
      </c>
      <c r="O81" s="75" t="s">
        <v>800</v>
      </c>
      <c r="Q81" s="80" t="s">
        <v>833</v>
      </c>
      <c r="R81" s="77" t="s">
        <v>976</v>
      </c>
      <c r="S81" s="128" t="str">
        <f t="shared" si="9"/>
        <v>Z:\projects\onc-prj-shr1210\sub-csr\prt-336\09_txt\t-teae-socpt-ge5-apt-rel.txt</v>
      </c>
      <c r="T81" s="128" t="str">
        <f t="shared" si="10"/>
        <v>Z:\projects\onc-prj-shr1210\sub-csr\prt-336\11_output\t14-03-001-001-003-011-teae-socpt-ge5-apt-rel.rtf</v>
      </c>
    </row>
    <row r="82" spans="1:20" ht="14.15" customHeight="1" x14ac:dyDescent="0.3">
      <c r="A82" s="74" t="s">
        <v>172</v>
      </c>
      <c r="C82" s="116" t="s">
        <v>333</v>
      </c>
      <c r="D82" s="138" t="s">
        <v>1222</v>
      </c>
      <c r="E82" s="118"/>
      <c r="F82" s="118"/>
      <c r="G82" s="77" t="s">
        <v>1099</v>
      </c>
      <c r="H82" s="77" t="s">
        <v>730</v>
      </c>
      <c r="I82" s="57" t="s">
        <v>56</v>
      </c>
      <c r="K82" s="79"/>
      <c r="L82" t="s">
        <v>43</v>
      </c>
      <c r="M82" s="75" t="s">
        <v>1138</v>
      </c>
      <c r="N82" s="73" t="s">
        <v>1166</v>
      </c>
      <c r="O82" s="75" t="s">
        <v>800</v>
      </c>
      <c r="Q82" s="80" t="s">
        <v>834</v>
      </c>
      <c r="R82" s="77" t="s">
        <v>977</v>
      </c>
      <c r="S82" s="128" t="str">
        <f t="shared" si="9"/>
        <v>Z:\projects\onc-prj-shr1210\sub-csr\prt-336\09_txt\t-teae-socpt-ge5-tace-rel.txt</v>
      </c>
      <c r="T82" s="128" t="str">
        <f t="shared" si="10"/>
        <v>Z:\projects\onc-prj-shr1210\sub-csr\prt-336\11_output\t14-03-001-001-003-012-teae-socpt-ge5-tace-rel.rtf</v>
      </c>
    </row>
    <row r="83" spans="1:20" x14ac:dyDescent="0.3">
      <c r="A83" s="74" t="s">
        <v>172</v>
      </c>
      <c r="C83" s="116" t="s">
        <v>334</v>
      </c>
      <c r="D83" s="117" t="s">
        <v>335</v>
      </c>
      <c r="E83" s="116" t="s">
        <v>899</v>
      </c>
      <c r="F83" s="116" t="s">
        <v>1135</v>
      </c>
      <c r="G83" s="77" t="s">
        <v>1100</v>
      </c>
      <c r="H83" s="77" t="s">
        <v>731</v>
      </c>
      <c r="I83" s="57" t="s">
        <v>56</v>
      </c>
      <c r="K83" s="79"/>
      <c r="L83" t="s">
        <v>43</v>
      </c>
      <c r="M83" s="94" t="s">
        <v>336</v>
      </c>
      <c r="N83" s="73" t="s">
        <v>1166</v>
      </c>
      <c r="O83" s="75" t="s">
        <v>800</v>
      </c>
      <c r="Q83" s="80" t="s">
        <v>337</v>
      </c>
      <c r="R83" s="77" t="s">
        <v>978</v>
      </c>
      <c r="S83" s="128" t="str">
        <f t="shared" si="9"/>
        <v>Z:\projects\onc-prj-shr1210\sub-csr\prt-336\09_txt\t-teae-socpt-ctcge3.txt</v>
      </c>
      <c r="T83" s="128" t="str">
        <f t="shared" si="10"/>
        <v>Z:\projects\onc-prj-shr1210\sub-csr\prt-336\11_output\t14-03-001-001-003-013-teae-socpt-ctcge3.rtf</v>
      </c>
    </row>
    <row r="84" spans="1:20" x14ac:dyDescent="0.3">
      <c r="A84" s="74" t="s">
        <v>172</v>
      </c>
      <c r="C84" s="116" t="s">
        <v>789</v>
      </c>
      <c r="D84" s="117" t="s">
        <v>788</v>
      </c>
      <c r="E84" s="116"/>
      <c r="F84" s="116"/>
      <c r="G84" s="77" t="s">
        <v>1101</v>
      </c>
      <c r="H84" s="77" t="s">
        <v>835</v>
      </c>
      <c r="I84" s="57" t="s">
        <v>56</v>
      </c>
      <c r="K84" s="79"/>
      <c r="L84" s="77" t="s">
        <v>43</v>
      </c>
      <c r="M84" s="75" t="s">
        <v>1138</v>
      </c>
      <c r="N84" s="73" t="s">
        <v>1166</v>
      </c>
      <c r="O84" s="75" t="s">
        <v>800</v>
      </c>
      <c r="Q84" s="80"/>
      <c r="R84" s="77" t="s">
        <v>979</v>
      </c>
      <c r="S84" s="128" t="str">
        <f t="shared" si="9"/>
        <v>Z:\projects\onc-prj-shr1210\sub-csr\prt-336\09_txt\t-teae-ctcge3-socpt.txt</v>
      </c>
      <c r="T84" s="128" t="str">
        <f t="shared" si="10"/>
        <v>Z:\projects\onc-prj-shr1210\sub-csr\prt-336\11_output\t14-03-001-001-003-013-001-teae-ctcge3-socpt.rtf</v>
      </c>
    </row>
    <row r="85" spans="1:20" x14ac:dyDescent="0.3">
      <c r="A85" s="74" t="s">
        <v>172</v>
      </c>
      <c r="C85" s="116" t="s">
        <v>338</v>
      </c>
      <c r="D85" s="117" t="s">
        <v>339</v>
      </c>
      <c r="E85" s="116" t="s">
        <v>1135</v>
      </c>
      <c r="F85" s="116" t="s">
        <v>1135</v>
      </c>
      <c r="G85" s="77" t="s">
        <v>1102</v>
      </c>
      <c r="H85" s="77" t="s">
        <v>732</v>
      </c>
      <c r="I85" s="57" t="s">
        <v>56</v>
      </c>
      <c r="K85" s="79"/>
      <c r="L85" s="77" t="s">
        <v>43</v>
      </c>
      <c r="M85" s="94" t="s">
        <v>336</v>
      </c>
      <c r="N85" s="73" t="s">
        <v>1166</v>
      </c>
      <c r="O85" s="75" t="s">
        <v>800</v>
      </c>
      <c r="Q85" s="80" t="s">
        <v>340</v>
      </c>
      <c r="R85" s="77" t="s">
        <v>980</v>
      </c>
      <c r="S85" s="128" t="str">
        <f t="shared" si="9"/>
        <v>Z:\projects\onc-prj-shr1210\sub-csr\prt-336\09_txt\t-teae-socpt-ctcge3-rel.txt</v>
      </c>
      <c r="T85" s="128" t="str">
        <f t="shared" si="10"/>
        <v>Z:\projects\onc-prj-shr1210\sub-csr\prt-336\11_output\t14-03-001-001-003-014-teae-socpt-ctcge3-rel.rtf</v>
      </c>
    </row>
    <row r="86" spans="1:20" x14ac:dyDescent="0.3">
      <c r="A86" s="74" t="s">
        <v>172</v>
      </c>
      <c r="C86" s="116" t="s">
        <v>791</v>
      </c>
      <c r="D86" s="117" t="s">
        <v>790</v>
      </c>
      <c r="E86" s="116"/>
      <c r="F86" s="116"/>
      <c r="G86" s="77" t="s">
        <v>1103</v>
      </c>
      <c r="H86" s="77" t="s">
        <v>836</v>
      </c>
      <c r="I86" s="57" t="s">
        <v>56</v>
      </c>
      <c r="K86" s="79"/>
      <c r="L86" s="77" t="s">
        <v>43</v>
      </c>
      <c r="M86" s="75" t="s">
        <v>1138</v>
      </c>
      <c r="N86" s="73" t="s">
        <v>1166</v>
      </c>
      <c r="O86" s="75" t="s">
        <v>800</v>
      </c>
      <c r="Q86" s="103" t="s">
        <v>838</v>
      </c>
      <c r="R86" s="77" t="s">
        <v>981</v>
      </c>
      <c r="S86" s="128" t="str">
        <f t="shared" si="9"/>
        <v>Z:\projects\onc-prj-shr1210\sub-csr\prt-336\09_txt\t-teae-ctcge3-socpt-rel.txt</v>
      </c>
      <c r="T86" s="128" t="str">
        <f t="shared" si="10"/>
        <v>Z:\projects\onc-prj-shr1210\sub-csr\prt-336\11_output\t14-03-001-001-003-014-001-teae-ctcge3-socpt-rel.rtf</v>
      </c>
    </row>
    <row r="87" spans="1:20" x14ac:dyDescent="0.3">
      <c r="A87" s="74" t="s">
        <v>172</v>
      </c>
      <c r="C87" s="116" t="s">
        <v>341</v>
      </c>
      <c r="D87" s="117" t="s">
        <v>342</v>
      </c>
      <c r="E87" s="116"/>
      <c r="F87" s="116"/>
      <c r="G87" s="77" t="s">
        <v>1104</v>
      </c>
      <c r="H87" s="77" t="s">
        <v>733</v>
      </c>
      <c r="I87" s="57" t="s">
        <v>56</v>
      </c>
      <c r="K87" s="79"/>
      <c r="L87" s="77" t="s">
        <v>43</v>
      </c>
      <c r="M87" s="94" t="s">
        <v>1140</v>
      </c>
      <c r="N87" s="73" t="s">
        <v>1166</v>
      </c>
      <c r="O87" s="75" t="s">
        <v>800</v>
      </c>
      <c r="Q87" s="80" t="s">
        <v>1209</v>
      </c>
      <c r="R87" s="77" t="s">
        <v>982</v>
      </c>
      <c r="S87" s="128" t="str">
        <f t="shared" si="9"/>
        <v>Z:\projects\onc-prj-shr1210\sub-csr\prt-336\09_txt\t-teae-socpt-ctcge3-inv-rel.txt</v>
      </c>
      <c r="T87" s="128" t="str">
        <f t="shared" si="10"/>
        <v>Z:\projects\onc-prj-shr1210\sub-csr\prt-336\11_output\t14-03-001-001-003-015-teae-socpt-ctcge3-inv-rel.rtf</v>
      </c>
    </row>
    <row r="88" spans="1:20" x14ac:dyDescent="0.3">
      <c r="A88" s="74" t="s">
        <v>172</v>
      </c>
      <c r="C88" s="116" t="s">
        <v>343</v>
      </c>
      <c r="D88" s="117" t="s">
        <v>344</v>
      </c>
      <c r="E88" s="116"/>
      <c r="F88" s="116"/>
      <c r="G88" s="77" t="s">
        <v>1105</v>
      </c>
      <c r="H88" s="77" t="s">
        <v>734</v>
      </c>
      <c r="I88" s="57" t="s">
        <v>56</v>
      </c>
      <c r="K88" s="79"/>
      <c r="L88" s="77" t="s">
        <v>43</v>
      </c>
      <c r="M88" s="94" t="s">
        <v>1140</v>
      </c>
      <c r="N88" s="73" t="s">
        <v>1166</v>
      </c>
      <c r="O88" s="75" t="s">
        <v>800</v>
      </c>
      <c r="Q88" s="80" t="s">
        <v>345</v>
      </c>
      <c r="R88" s="77" t="s">
        <v>983</v>
      </c>
      <c r="S88" s="128" t="str">
        <f t="shared" si="9"/>
        <v>Z:\projects\onc-prj-shr1210\sub-csr\prt-336\09_txt\t-teae-socpt-ctcge3-cam-rel.txt</v>
      </c>
      <c r="T88" s="128" t="str">
        <f t="shared" si="10"/>
        <v>Z:\projects\onc-prj-shr1210\sub-csr\prt-336\11_output\t14-03-001-001-003-016-teae-socpt-ctcge3-cam-rel.rtf</v>
      </c>
    </row>
    <row r="89" spans="1:20" x14ac:dyDescent="0.3">
      <c r="A89" s="74" t="s">
        <v>172</v>
      </c>
      <c r="C89" s="116" t="s">
        <v>346</v>
      </c>
      <c r="D89" s="117" t="s">
        <v>347</v>
      </c>
      <c r="E89" s="116"/>
      <c r="F89" s="116"/>
      <c r="G89" s="77" t="s">
        <v>1106</v>
      </c>
      <c r="H89" s="77" t="s">
        <v>735</v>
      </c>
      <c r="I89" s="57" t="s">
        <v>56</v>
      </c>
      <c r="K89" s="79"/>
      <c r="L89" s="77" t="s">
        <v>43</v>
      </c>
      <c r="M89" s="94" t="s">
        <v>1140</v>
      </c>
      <c r="N89" s="73" t="s">
        <v>1166</v>
      </c>
      <c r="O89" s="75" t="s">
        <v>800</v>
      </c>
      <c r="Q89" s="80" t="s">
        <v>348</v>
      </c>
      <c r="R89" s="77" t="s">
        <v>984</v>
      </c>
      <c r="S89" s="128" t="str">
        <f t="shared" si="9"/>
        <v>Z:\projects\onc-prj-shr1210\sub-csr\prt-336\09_txt\t-teae-socpt-ctcge3-apt-rel.txt</v>
      </c>
      <c r="T89" s="128" t="str">
        <f t="shared" si="10"/>
        <v>Z:\projects\onc-prj-shr1210\sub-csr\prt-336\11_output\t14-03-001-001-003-017-teae-socpt-ctcge3-apt-rel.rtf</v>
      </c>
    </row>
    <row r="90" spans="1:20" x14ac:dyDescent="0.3">
      <c r="A90" s="74" t="s">
        <v>172</v>
      </c>
      <c r="C90" s="116" t="s">
        <v>349</v>
      </c>
      <c r="D90" s="138" t="s">
        <v>1226</v>
      </c>
      <c r="E90" s="116"/>
      <c r="F90" s="116"/>
      <c r="G90" s="77" t="s">
        <v>1107</v>
      </c>
      <c r="H90" s="77" t="s">
        <v>736</v>
      </c>
      <c r="I90" s="57" t="s">
        <v>56</v>
      </c>
      <c r="K90" s="79"/>
      <c r="L90" s="77" t="s">
        <v>43</v>
      </c>
      <c r="M90" s="94" t="s">
        <v>336</v>
      </c>
      <c r="N90" s="73" t="s">
        <v>1166</v>
      </c>
      <c r="O90" s="75" t="s">
        <v>800</v>
      </c>
      <c r="Q90" s="80" t="s">
        <v>350</v>
      </c>
      <c r="R90" s="77" t="s">
        <v>985</v>
      </c>
      <c r="S90" s="128" t="str">
        <f t="shared" si="9"/>
        <v>Z:\projects\onc-prj-shr1210\sub-csr\prt-336\09_txt\t-teae-socpt-ctcge3-tace-rel.txt</v>
      </c>
      <c r="T90" s="128" t="str">
        <f t="shared" si="10"/>
        <v>Z:\projects\onc-prj-shr1210\sub-csr\prt-336\11_output\t14-03-001-001-003-018-teae-socpt-ctcge3-tace-rel.rtf</v>
      </c>
    </row>
    <row r="91" spans="1:20" x14ac:dyDescent="0.3">
      <c r="A91" s="74" t="s">
        <v>172</v>
      </c>
      <c r="C91" s="116" t="s">
        <v>792</v>
      </c>
      <c r="D91" s="117" t="s">
        <v>1223</v>
      </c>
      <c r="E91" s="116"/>
      <c r="F91" s="116"/>
      <c r="G91" s="77" t="s">
        <v>1108</v>
      </c>
      <c r="H91" s="77" t="s">
        <v>837</v>
      </c>
      <c r="I91" s="57" t="s">
        <v>56</v>
      </c>
      <c r="K91" s="79"/>
      <c r="L91" s="77" t="s">
        <v>43</v>
      </c>
      <c r="M91" s="75" t="s">
        <v>1138</v>
      </c>
      <c r="N91" s="73" t="s">
        <v>1166</v>
      </c>
      <c r="O91" s="75" t="s">
        <v>800</v>
      </c>
      <c r="Q91" s="103" t="s">
        <v>839</v>
      </c>
      <c r="R91" s="77" t="s">
        <v>986</v>
      </c>
      <c r="S91" s="128" t="str">
        <f t="shared" si="9"/>
        <v>Z:\projects\onc-prj-shr1210\sub-csr\prt-336\09_txt\t-teae-ctcge3-socpt-tace-rel.txt</v>
      </c>
      <c r="T91" s="128" t="str">
        <f t="shared" si="10"/>
        <v>Z:\projects\onc-prj-shr1210\sub-csr\prt-336\11_output\t14-03-001-001-003-018-001-teae-ctcge3-socpt-tace-rel.rtf</v>
      </c>
    </row>
    <row r="92" spans="1:20" x14ac:dyDescent="0.3">
      <c r="A92" s="74" t="s">
        <v>172</v>
      </c>
      <c r="C92" s="116" t="s">
        <v>351</v>
      </c>
      <c r="D92" s="160" t="s">
        <v>1305</v>
      </c>
      <c r="E92" s="116"/>
      <c r="F92" s="116"/>
      <c r="G92" s="77" t="s">
        <v>1109</v>
      </c>
      <c r="H92" s="77" t="s">
        <v>695</v>
      </c>
      <c r="I92" s="57" t="s">
        <v>56</v>
      </c>
      <c r="K92" s="79"/>
      <c r="L92" t="s">
        <v>43</v>
      </c>
      <c r="M92" s="75" t="s">
        <v>352</v>
      </c>
      <c r="N92" s="73" t="s">
        <v>1166</v>
      </c>
      <c r="O92" s="75" t="s">
        <v>800</v>
      </c>
      <c r="Q92" s="75" t="s">
        <v>702</v>
      </c>
      <c r="R92" s="77" t="s">
        <v>987</v>
      </c>
      <c r="S92" s="128" t="str">
        <f t="shared" si="9"/>
        <v>Z:\projects\onc-prj-shr1210\sub-csr\prt-336\09_txt\t-teae-sum-ada.txt</v>
      </c>
      <c r="T92" s="128" t="str">
        <f t="shared" si="10"/>
        <v>Z:\projects\onc-prj-shr1210\sub-csr\prt-336\11_output\t14-03-001-001-003-019-teae-sum-ada.rtf</v>
      </c>
    </row>
    <row r="93" spans="1:20" x14ac:dyDescent="0.3">
      <c r="A93" s="74" t="s">
        <v>172</v>
      </c>
      <c r="C93" s="76" t="s">
        <v>353</v>
      </c>
      <c r="D93" s="168" t="s">
        <v>1306</v>
      </c>
      <c r="E93" s="87"/>
      <c r="F93" s="87"/>
      <c r="G93" s="77" t="s">
        <v>1110</v>
      </c>
      <c r="H93" s="77" t="s">
        <v>737</v>
      </c>
      <c r="I93" s="57" t="s">
        <v>56</v>
      </c>
      <c r="K93" s="79"/>
      <c r="L93" t="s">
        <v>43</v>
      </c>
      <c r="M93" s="75" t="s">
        <v>354</v>
      </c>
      <c r="N93" s="73" t="s">
        <v>1166</v>
      </c>
      <c r="O93" s="75" t="s">
        <v>800</v>
      </c>
      <c r="Q93" s="80" t="s">
        <v>355</v>
      </c>
      <c r="R93" s="77" t="s">
        <v>988</v>
      </c>
      <c r="S93" s="128" t="str">
        <f t="shared" si="9"/>
        <v>Z:\projects\onc-prj-shr1210\sub-csr\prt-336\09_txt\t-teae-socpt-ada.txt</v>
      </c>
      <c r="T93" s="128" t="str">
        <f t="shared" si="10"/>
        <v>Z:\projects\onc-prj-shr1210\sub-csr\prt-336\11_output\t14-03-001-001-003-020-teae-socpt-ada.rtf</v>
      </c>
    </row>
    <row r="94" spans="1:20" x14ac:dyDescent="0.3">
      <c r="A94" s="74" t="s">
        <v>172</v>
      </c>
      <c r="C94" s="76" t="s">
        <v>356</v>
      </c>
      <c r="D94" s="168" t="s">
        <v>1307</v>
      </c>
      <c r="E94" s="87"/>
      <c r="F94" s="87"/>
      <c r="G94" s="77" t="s">
        <v>1111</v>
      </c>
      <c r="H94" s="77" t="s">
        <v>738</v>
      </c>
      <c r="I94" s="57" t="s">
        <v>56</v>
      </c>
      <c r="K94" s="79"/>
      <c r="L94" t="s">
        <v>43</v>
      </c>
      <c r="M94" s="75" t="s">
        <v>354</v>
      </c>
      <c r="N94" s="73" t="s">
        <v>1166</v>
      </c>
      <c r="O94" s="75" t="s">
        <v>800</v>
      </c>
      <c r="Q94" s="80" t="s">
        <v>355</v>
      </c>
      <c r="R94" s="77" t="s">
        <v>989</v>
      </c>
      <c r="S94" s="128" t="str">
        <f t="shared" si="9"/>
        <v>Z:\projects\onc-prj-shr1210\sub-csr\prt-336\09_txt\t-teae-socpt-ctc-ada.txt</v>
      </c>
      <c r="T94" s="128" t="str">
        <f t="shared" si="10"/>
        <v>Z:\projects\onc-prj-shr1210\sub-csr\prt-336\11_output\t14-03-001-001-003-021-teae-socpt-ctc-ada.rtf</v>
      </c>
    </row>
    <row r="95" spans="1:20" x14ac:dyDescent="0.3">
      <c r="A95" s="74" t="s">
        <v>172</v>
      </c>
      <c r="C95" s="76" t="s">
        <v>357</v>
      </c>
      <c r="D95" s="108" t="s">
        <v>358</v>
      </c>
      <c r="E95" s="87"/>
      <c r="F95" s="87"/>
      <c r="G95" s="77" t="s">
        <v>1215</v>
      </c>
      <c r="H95" s="77" t="s">
        <v>841</v>
      </c>
      <c r="I95" s="57" t="s">
        <v>18</v>
      </c>
      <c r="K95" s="79"/>
      <c r="L95" s="77" t="s">
        <v>43</v>
      </c>
      <c r="M95" s="75" t="s">
        <v>676</v>
      </c>
      <c r="N95" s="73" t="s">
        <v>1166</v>
      </c>
      <c r="O95" s="75" t="s">
        <v>800</v>
      </c>
      <c r="R95" s="77" t="s">
        <v>990</v>
      </c>
      <c r="S95" s="128" t="str">
        <f t="shared" si="9"/>
        <v>Z:\projects\onc-prj-shr1210\sub-csr\prt-336\09_txt\t_adae_dth.txt</v>
      </c>
      <c r="T95" s="128" t="str">
        <f t="shared" si="10"/>
        <v>Z:\projects\onc-prj-shr1210\sub-csr\prt-336\11_output\t14-03-002-001-adae-dth.rtf</v>
      </c>
    </row>
    <row r="96" spans="1:20" x14ac:dyDescent="0.3">
      <c r="A96" s="74" t="s">
        <v>172</v>
      </c>
      <c r="C96" s="76" t="s">
        <v>360</v>
      </c>
      <c r="D96" s="108" t="s">
        <v>361</v>
      </c>
      <c r="E96" s="87"/>
      <c r="F96" s="87"/>
      <c r="G96" s="77" t="s">
        <v>1216</v>
      </c>
      <c r="H96" s="77" t="s">
        <v>842</v>
      </c>
      <c r="I96" s="57" t="s">
        <v>18</v>
      </c>
      <c r="K96" s="79"/>
      <c r="L96" s="77" t="s">
        <v>43</v>
      </c>
      <c r="M96" s="75" t="s">
        <v>677</v>
      </c>
      <c r="N96" s="73" t="s">
        <v>1166</v>
      </c>
      <c r="O96" s="75" t="s">
        <v>800</v>
      </c>
      <c r="R96" s="77" t="s">
        <v>991</v>
      </c>
      <c r="S96" s="128" t="str">
        <f t="shared" si="9"/>
        <v>Z:\projects\onc-prj-shr1210\sub-csr\prt-336\09_txt\t_adae_sae_l.txt</v>
      </c>
      <c r="T96" s="128" t="str">
        <f t="shared" si="10"/>
        <v>Z:\projects\onc-prj-shr1210\sub-csr\prt-336\11_output\t14-03-002-002-001-adae-sae-l.rtf</v>
      </c>
    </row>
    <row r="97" spans="1:20" ht="14.15" customHeight="1" x14ac:dyDescent="0.3">
      <c r="A97" s="74" t="s">
        <v>172</v>
      </c>
      <c r="C97" s="76" t="s">
        <v>362</v>
      </c>
      <c r="D97" s="129" t="s">
        <v>793</v>
      </c>
      <c r="E97" s="124" t="s">
        <v>899</v>
      </c>
      <c r="F97" s="133" t="s">
        <v>1135</v>
      </c>
      <c r="G97" s="77" t="str">
        <f t="shared" ref="G97:G111" si="11">SUBSTITUTE(LEFT(H97,1)&amp;SUBSTITUTE(SUBSTITUTE(C97,".","-00"),"-00","-0",1)&amp;MID(H97,2,100)&amp;".rtf","_","-")</f>
        <v>t14-03-002-002-002-tesae-socpt.rtf</v>
      </c>
      <c r="H97" s="77" t="s">
        <v>739</v>
      </c>
      <c r="I97" s="57" t="s">
        <v>56</v>
      </c>
      <c r="K97" s="79"/>
      <c r="L97" t="s">
        <v>43</v>
      </c>
      <c r="M97" s="75" t="s">
        <v>1138</v>
      </c>
      <c r="N97" s="73" t="s">
        <v>1166</v>
      </c>
      <c r="O97" s="75" t="s">
        <v>800</v>
      </c>
      <c r="Q97" s="75" t="s">
        <v>830</v>
      </c>
      <c r="R97" s="77" t="s">
        <v>992</v>
      </c>
      <c r="S97" s="128" t="str">
        <f t="shared" si="9"/>
        <v>Z:\projects\onc-prj-shr1210\sub-csr\prt-336\09_txt\t-tesae-socpt.txt</v>
      </c>
      <c r="T97" s="128" t="str">
        <f t="shared" si="10"/>
        <v>Z:\projects\onc-prj-shr1210\sub-csr\prt-336\11_output\t14-03-002-002-002-tesae-socpt.rtf</v>
      </c>
    </row>
    <row r="98" spans="1:20" ht="14.15" customHeight="1" x14ac:dyDescent="0.3">
      <c r="A98" s="74" t="s">
        <v>172</v>
      </c>
      <c r="C98" s="76" t="s">
        <v>363</v>
      </c>
      <c r="D98" s="129" t="s">
        <v>794</v>
      </c>
      <c r="E98" s="124" t="s">
        <v>899</v>
      </c>
      <c r="F98" s="133" t="s">
        <v>1135</v>
      </c>
      <c r="G98" s="77" t="str">
        <f t="shared" si="11"/>
        <v>t14-03-002-002-003-tesae-socpt-tr.rtf</v>
      </c>
      <c r="H98" s="77" t="s">
        <v>740</v>
      </c>
      <c r="I98" s="57" t="s">
        <v>56</v>
      </c>
      <c r="K98" s="79"/>
      <c r="L98" t="s">
        <v>43</v>
      </c>
      <c r="M98" s="75" t="s">
        <v>1138</v>
      </c>
      <c r="N98" s="73" t="s">
        <v>1166</v>
      </c>
      <c r="O98" s="75" t="s">
        <v>800</v>
      </c>
      <c r="Q98" s="80" t="s">
        <v>831</v>
      </c>
      <c r="R98" s="77" t="s">
        <v>993</v>
      </c>
      <c r="S98" s="128" t="str">
        <f t="shared" si="9"/>
        <v>Z:\projects\onc-prj-shr1210\sub-csr\prt-336\09_txt\t-tesae-socpt-tr.txt</v>
      </c>
      <c r="T98" s="128" t="str">
        <f t="shared" si="10"/>
        <v>Z:\projects\onc-prj-shr1210\sub-csr\prt-336\11_output\t14-03-002-002-003-tesae-socpt-tr.rtf</v>
      </c>
    </row>
    <row r="99" spans="1:20" ht="14.15" customHeight="1" x14ac:dyDescent="0.3">
      <c r="A99" s="74" t="s">
        <v>172</v>
      </c>
      <c r="C99" s="76" t="s">
        <v>364</v>
      </c>
      <c r="D99" s="129" t="s">
        <v>795</v>
      </c>
      <c r="E99" s="110"/>
      <c r="F99" s="110"/>
      <c r="G99" s="77" t="str">
        <f t="shared" si="11"/>
        <v>t14-03-002-002-004-tesae-socpt-inv.rtf</v>
      </c>
      <c r="H99" s="77" t="s">
        <v>741</v>
      </c>
      <c r="I99" s="57" t="s">
        <v>56</v>
      </c>
      <c r="K99" s="79"/>
      <c r="L99" t="s">
        <v>43</v>
      </c>
      <c r="M99" s="75" t="s">
        <v>1139</v>
      </c>
      <c r="N99" s="73" t="s">
        <v>1166</v>
      </c>
      <c r="O99" s="75" t="s">
        <v>800</v>
      </c>
      <c r="Q99" s="103" t="s">
        <v>1208</v>
      </c>
      <c r="R99" s="77" t="s">
        <v>994</v>
      </c>
      <c r="S99" s="128" t="str">
        <f t="shared" si="9"/>
        <v>Z:\projects\onc-prj-shr1210\sub-csr\prt-336\09_txt\t-tesae-socpt-inv.txt</v>
      </c>
      <c r="T99" s="128" t="str">
        <f t="shared" si="10"/>
        <v>Z:\projects\onc-prj-shr1210\sub-csr\prt-336\11_output\t14-03-002-002-004-tesae-socpt-inv.rtf</v>
      </c>
    </row>
    <row r="100" spans="1:20" ht="14.15" customHeight="1" x14ac:dyDescent="0.3">
      <c r="A100" s="74" t="s">
        <v>172</v>
      </c>
      <c r="C100" s="76" t="s">
        <v>365</v>
      </c>
      <c r="D100" s="129" t="s">
        <v>796</v>
      </c>
      <c r="E100" s="110"/>
      <c r="F100" s="110"/>
      <c r="G100" s="77" t="str">
        <f t="shared" si="11"/>
        <v>t14-03-002-002-005-tesae-socpt-cam.rtf</v>
      </c>
      <c r="H100" s="77" t="s">
        <v>742</v>
      </c>
      <c r="I100" s="57" t="s">
        <v>56</v>
      </c>
      <c r="K100" s="79"/>
      <c r="L100" t="s">
        <v>43</v>
      </c>
      <c r="M100" s="75" t="s">
        <v>1139</v>
      </c>
      <c r="N100" s="73" t="s">
        <v>1166</v>
      </c>
      <c r="O100" s="75" t="s">
        <v>800</v>
      </c>
      <c r="Q100" s="80" t="s">
        <v>832</v>
      </c>
      <c r="R100" s="77" t="s">
        <v>995</v>
      </c>
      <c r="S100" s="128" t="str">
        <f t="shared" si="9"/>
        <v>Z:\projects\onc-prj-shr1210\sub-csr\prt-336\09_txt\t-tesae-socpt-cam.txt</v>
      </c>
      <c r="T100" s="128" t="str">
        <f t="shared" si="10"/>
        <v>Z:\projects\onc-prj-shr1210\sub-csr\prt-336\11_output\t14-03-002-002-005-tesae-socpt-cam.rtf</v>
      </c>
    </row>
    <row r="101" spans="1:20" ht="14.15" customHeight="1" x14ac:dyDescent="0.3">
      <c r="A101" s="74" t="s">
        <v>172</v>
      </c>
      <c r="C101" s="76" t="s">
        <v>366</v>
      </c>
      <c r="D101" s="129" t="s">
        <v>797</v>
      </c>
      <c r="E101" s="110"/>
      <c r="F101" s="110"/>
      <c r="G101" s="77" t="str">
        <f t="shared" si="11"/>
        <v>t14-03-002-002-006-tesae-socpt-apt.rtf</v>
      </c>
      <c r="H101" s="77" t="s">
        <v>743</v>
      </c>
      <c r="I101" s="57" t="s">
        <v>56</v>
      </c>
      <c r="K101" s="79"/>
      <c r="L101" t="s">
        <v>43</v>
      </c>
      <c r="M101" s="75" t="s">
        <v>1139</v>
      </c>
      <c r="N101" s="73" t="s">
        <v>1166</v>
      </c>
      <c r="O101" s="75" t="s">
        <v>800</v>
      </c>
      <c r="Q101" s="80" t="s">
        <v>833</v>
      </c>
      <c r="R101" s="77" t="s">
        <v>996</v>
      </c>
      <c r="S101" s="128" t="str">
        <f t="shared" si="9"/>
        <v>Z:\projects\onc-prj-shr1210\sub-csr\prt-336\09_txt\t-tesae-socpt-apt.txt</v>
      </c>
      <c r="T101" s="128" t="str">
        <f t="shared" si="10"/>
        <v>Z:\projects\onc-prj-shr1210\sub-csr\prt-336\11_output\t14-03-002-002-006-tesae-socpt-apt.rtf</v>
      </c>
    </row>
    <row r="102" spans="1:20" ht="14.15" customHeight="1" x14ac:dyDescent="0.3">
      <c r="A102" s="74" t="s">
        <v>172</v>
      </c>
      <c r="C102" s="76" t="s">
        <v>367</v>
      </c>
      <c r="D102" s="156" t="s">
        <v>1224</v>
      </c>
      <c r="E102" s="110"/>
      <c r="F102" s="110"/>
      <c r="G102" s="77" t="str">
        <f t="shared" si="11"/>
        <v>t14-03-002-002-007-tesae-socpt-tace.rtf</v>
      </c>
      <c r="H102" s="77" t="s">
        <v>744</v>
      </c>
      <c r="I102" s="57" t="s">
        <v>56</v>
      </c>
      <c r="K102" s="79"/>
      <c r="L102" t="s">
        <v>43</v>
      </c>
      <c r="M102" s="75" t="s">
        <v>1138</v>
      </c>
      <c r="N102" s="73" t="s">
        <v>1166</v>
      </c>
      <c r="O102" s="75" t="s">
        <v>800</v>
      </c>
      <c r="Q102" s="103" t="s">
        <v>1225</v>
      </c>
      <c r="R102" s="77" t="s">
        <v>997</v>
      </c>
      <c r="S102" s="128" t="str">
        <f t="shared" si="9"/>
        <v>Z:\projects\onc-prj-shr1210\sub-csr\prt-336\09_txt\t-tesae-socpt-tace.txt</v>
      </c>
      <c r="T102" s="128" t="str">
        <f t="shared" si="10"/>
        <v>Z:\projects\onc-prj-shr1210\sub-csr\prt-336\11_output\t14-03-002-002-007-tesae-socpt-tace.rtf</v>
      </c>
    </row>
    <row r="103" spans="1:20" ht="14.15" customHeight="1" x14ac:dyDescent="0.3">
      <c r="A103" s="74" t="s">
        <v>172</v>
      </c>
      <c r="C103" s="76" t="s">
        <v>368</v>
      </c>
      <c r="D103" s="129" t="s">
        <v>852</v>
      </c>
      <c r="E103" s="110"/>
      <c r="F103" s="110"/>
      <c r="G103" s="77" t="str">
        <f t="shared" si="11"/>
        <v>t14-03-002-003-001-teae-socpt-wd-cam.rtf</v>
      </c>
      <c r="H103" s="77" t="s">
        <v>745</v>
      </c>
      <c r="I103" s="57" t="s">
        <v>56</v>
      </c>
      <c r="K103" s="79"/>
      <c r="L103" t="s">
        <v>43</v>
      </c>
      <c r="M103" s="75" t="s">
        <v>1139</v>
      </c>
      <c r="N103" s="73" t="s">
        <v>1166</v>
      </c>
      <c r="O103" s="75" t="s">
        <v>800</v>
      </c>
      <c r="Q103" s="80" t="s">
        <v>370</v>
      </c>
      <c r="R103" s="77" t="s">
        <v>998</v>
      </c>
      <c r="S103" s="128" t="str">
        <f t="shared" si="9"/>
        <v>Z:\projects\onc-prj-shr1210\sub-csr\prt-336\09_txt\t-teae-socpt-wd-cam.txt</v>
      </c>
      <c r="T103" s="128" t="str">
        <f t="shared" si="10"/>
        <v>Z:\projects\onc-prj-shr1210\sub-csr\prt-336\11_output\t14-03-002-003-001-teae-socpt-wd-cam.rtf</v>
      </c>
    </row>
    <row r="104" spans="1:20" ht="14.15" customHeight="1" x14ac:dyDescent="0.3">
      <c r="A104" s="74" t="s">
        <v>172</v>
      </c>
      <c r="C104" s="76" t="s">
        <v>371</v>
      </c>
      <c r="D104" s="108" t="s">
        <v>372</v>
      </c>
      <c r="E104" s="76"/>
      <c r="F104" s="76"/>
      <c r="G104" s="77" t="str">
        <f t="shared" si="11"/>
        <v>t14-03-002-003-002-teae-socpt-int-cam.rtf</v>
      </c>
      <c r="H104" s="77" t="s">
        <v>746</v>
      </c>
      <c r="I104" s="57" t="s">
        <v>56</v>
      </c>
      <c r="K104" s="79"/>
      <c r="L104" t="s">
        <v>43</v>
      </c>
      <c r="M104" s="75" t="s">
        <v>1139</v>
      </c>
      <c r="N104" s="73" t="s">
        <v>1166</v>
      </c>
      <c r="O104" s="75" t="s">
        <v>800</v>
      </c>
      <c r="Q104" s="80" t="s">
        <v>373</v>
      </c>
      <c r="R104" s="77" t="s">
        <v>999</v>
      </c>
      <c r="S104" s="128" t="str">
        <f t="shared" si="9"/>
        <v>Z:\projects\onc-prj-shr1210\sub-csr\prt-336\09_txt\t-teae-socpt-int-cam.txt</v>
      </c>
      <c r="T104" s="128" t="str">
        <f t="shared" si="10"/>
        <v>Z:\projects\onc-prj-shr1210\sub-csr\prt-336\11_output\t14-03-002-003-002-teae-socpt-int-cam.rtf</v>
      </c>
    </row>
    <row r="105" spans="1:20" ht="14.15" customHeight="1" x14ac:dyDescent="0.3">
      <c r="A105" s="74" t="s">
        <v>172</v>
      </c>
      <c r="C105" s="76" t="s">
        <v>374</v>
      </c>
      <c r="D105" s="108" t="s">
        <v>853</v>
      </c>
      <c r="E105" s="76"/>
      <c r="F105" s="76"/>
      <c r="G105" s="77" t="str">
        <f t="shared" si="11"/>
        <v>t14-03-002-003-003-teae-socpt-wd-cam-rel.rtf</v>
      </c>
      <c r="H105" s="77" t="s">
        <v>747</v>
      </c>
      <c r="I105" s="57" t="s">
        <v>56</v>
      </c>
      <c r="K105" s="79"/>
      <c r="L105" t="s">
        <v>43</v>
      </c>
      <c r="M105" s="75" t="s">
        <v>1139</v>
      </c>
      <c r="N105" s="73" t="s">
        <v>1166</v>
      </c>
      <c r="O105" s="75" t="s">
        <v>800</v>
      </c>
      <c r="Q105" s="80" t="s">
        <v>375</v>
      </c>
      <c r="R105" s="77" t="s">
        <v>1000</v>
      </c>
      <c r="S105" s="128" t="str">
        <f t="shared" ref="S105:S136" si="12">HYPERLINK(_xlfn.CONCAT("Z:\projects\onc-prj-shr1210\sub-csr\prt-336\09_txt\",R105))</f>
        <v>Z:\projects\onc-prj-shr1210\sub-csr\prt-336\09_txt\t-teae-socpt-wd-cam-rel.txt</v>
      </c>
      <c r="T105" s="128" t="str">
        <f t="shared" ref="T105:T136" si="13">HYPERLINK(_xlfn.CONCAT("Z:\projects\onc-prj-shr1210\sub-csr\prt-336\11_output\",G105))</f>
        <v>Z:\projects\onc-prj-shr1210\sub-csr\prt-336\11_output\t14-03-002-003-003-teae-socpt-wd-cam-rel.rtf</v>
      </c>
    </row>
    <row r="106" spans="1:20" ht="14.15" customHeight="1" x14ac:dyDescent="0.3">
      <c r="A106" s="74" t="s">
        <v>172</v>
      </c>
      <c r="C106" s="76" t="s">
        <v>376</v>
      </c>
      <c r="D106" s="108" t="s">
        <v>377</v>
      </c>
      <c r="E106" s="76"/>
      <c r="F106" s="76"/>
      <c r="G106" s="77" t="str">
        <f t="shared" si="11"/>
        <v>t14-03-002-003-004-teae-socpt-int-cam-rel.rtf</v>
      </c>
      <c r="H106" s="77" t="s">
        <v>756</v>
      </c>
      <c r="I106" s="57" t="s">
        <v>56</v>
      </c>
      <c r="K106" s="79"/>
      <c r="L106" t="s">
        <v>43</v>
      </c>
      <c r="M106" s="75" t="s">
        <v>1139</v>
      </c>
      <c r="N106" s="73" t="s">
        <v>1166</v>
      </c>
      <c r="O106" s="75" t="s">
        <v>800</v>
      </c>
      <c r="Q106" s="80" t="s">
        <v>378</v>
      </c>
      <c r="R106" s="77" t="s">
        <v>1001</v>
      </c>
      <c r="S106" s="128" t="str">
        <f t="shared" si="12"/>
        <v>Z:\projects\onc-prj-shr1210\sub-csr\prt-336\09_txt\t-teae-socpt-int-cam-rel.txt</v>
      </c>
      <c r="T106" s="128" t="str">
        <f t="shared" si="13"/>
        <v>Z:\projects\onc-prj-shr1210\sub-csr\prt-336\11_output\t14-03-002-003-004-teae-socpt-int-cam-rel.rtf</v>
      </c>
    </row>
    <row r="107" spans="1:20" ht="14.15" customHeight="1" x14ac:dyDescent="0.3">
      <c r="A107" s="74" t="s">
        <v>172</v>
      </c>
      <c r="C107" s="76" t="s">
        <v>379</v>
      </c>
      <c r="D107" s="108" t="s">
        <v>854</v>
      </c>
      <c r="E107" s="76"/>
      <c r="F107" s="76"/>
      <c r="G107" s="77" t="str">
        <f t="shared" si="11"/>
        <v>t14-03-002-003-005-teae-socpt-wd-apt.rtf</v>
      </c>
      <c r="H107" s="77" t="s">
        <v>757</v>
      </c>
      <c r="I107" s="57" t="s">
        <v>56</v>
      </c>
      <c r="K107" s="79"/>
      <c r="L107" t="s">
        <v>43</v>
      </c>
      <c r="M107" s="75" t="s">
        <v>1139</v>
      </c>
      <c r="N107" s="73" t="s">
        <v>1166</v>
      </c>
      <c r="O107" s="75" t="s">
        <v>800</v>
      </c>
      <c r="Q107" s="80" t="s">
        <v>380</v>
      </c>
      <c r="R107" s="77" t="s">
        <v>1002</v>
      </c>
      <c r="S107" s="128" t="str">
        <f t="shared" si="12"/>
        <v>Z:\projects\onc-prj-shr1210\sub-csr\prt-336\09_txt\t-teae-socpt-wd-apt.txt</v>
      </c>
      <c r="T107" s="128" t="str">
        <f t="shared" si="13"/>
        <v>Z:\projects\onc-prj-shr1210\sub-csr\prt-336\11_output\t14-03-002-003-005-teae-socpt-wd-apt.rtf</v>
      </c>
    </row>
    <row r="108" spans="1:20" ht="14.15" customHeight="1" x14ac:dyDescent="0.3">
      <c r="A108" s="74" t="s">
        <v>172</v>
      </c>
      <c r="C108" s="76" t="s">
        <v>381</v>
      </c>
      <c r="D108" s="108" t="s">
        <v>382</v>
      </c>
      <c r="E108" s="76"/>
      <c r="F108" s="76"/>
      <c r="G108" s="77" t="str">
        <f t="shared" si="11"/>
        <v>t14-03-002-003-006-teae-socpt-int-apt.rtf</v>
      </c>
      <c r="H108" s="77" t="s">
        <v>758</v>
      </c>
      <c r="I108" s="57" t="s">
        <v>56</v>
      </c>
      <c r="K108" s="79"/>
      <c r="L108" t="s">
        <v>43</v>
      </c>
      <c r="M108" s="75" t="s">
        <v>1139</v>
      </c>
      <c r="N108" s="73" t="s">
        <v>1166</v>
      </c>
      <c r="O108" s="75" t="s">
        <v>800</v>
      </c>
      <c r="Q108" s="80" t="s">
        <v>383</v>
      </c>
      <c r="R108" s="77" t="s">
        <v>1003</v>
      </c>
      <c r="S108" s="128" t="str">
        <f t="shared" si="12"/>
        <v>Z:\projects\onc-prj-shr1210\sub-csr\prt-336\09_txt\t-teae-socpt-int-apt.txt</v>
      </c>
      <c r="T108" s="128" t="str">
        <f t="shared" si="13"/>
        <v>Z:\projects\onc-prj-shr1210\sub-csr\prt-336\11_output\t14-03-002-003-006-teae-socpt-int-apt.rtf</v>
      </c>
    </row>
    <row r="109" spans="1:20" ht="14.15" customHeight="1" x14ac:dyDescent="0.3">
      <c r="A109" s="74" t="s">
        <v>172</v>
      </c>
      <c r="C109" s="76" t="s">
        <v>384</v>
      </c>
      <c r="D109" s="108" t="s">
        <v>385</v>
      </c>
      <c r="E109" s="76"/>
      <c r="F109" s="76"/>
      <c r="G109" s="77" t="str">
        <f t="shared" si="11"/>
        <v>t14-03-002-003-007-teae-socpt-dr-apt.rtf</v>
      </c>
      <c r="H109" s="77" t="s">
        <v>759</v>
      </c>
      <c r="I109" s="57" t="s">
        <v>56</v>
      </c>
      <c r="K109" s="79"/>
      <c r="L109" t="s">
        <v>43</v>
      </c>
      <c r="M109" s="75" t="s">
        <v>1139</v>
      </c>
      <c r="N109" s="73" t="s">
        <v>1166</v>
      </c>
      <c r="O109" s="75" t="s">
        <v>800</v>
      </c>
      <c r="Q109" s="80" t="s">
        <v>386</v>
      </c>
      <c r="R109" s="77" t="s">
        <v>1004</v>
      </c>
      <c r="S109" s="128" t="str">
        <f t="shared" si="12"/>
        <v>Z:\projects\onc-prj-shr1210\sub-csr\prt-336\09_txt\t-teae-socpt-dr-apt.txt</v>
      </c>
      <c r="T109" s="128" t="str">
        <f t="shared" si="13"/>
        <v>Z:\projects\onc-prj-shr1210\sub-csr\prt-336\11_output\t14-03-002-003-007-teae-socpt-dr-apt.rtf</v>
      </c>
    </row>
    <row r="110" spans="1:20" ht="14.15" customHeight="1" x14ac:dyDescent="0.3">
      <c r="A110" s="74" t="s">
        <v>172</v>
      </c>
      <c r="C110" s="76" t="s">
        <v>387</v>
      </c>
      <c r="D110" s="108" t="s">
        <v>855</v>
      </c>
      <c r="E110" s="76"/>
      <c r="F110" s="76"/>
      <c r="G110" s="77" t="str">
        <f t="shared" si="11"/>
        <v>t14-03-002-003-008-teae-socpt-wd-apt-rel.rtf</v>
      </c>
      <c r="H110" s="77" t="s">
        <v>760</v>
      </c>
      <c r="I110" s="57" t="s">
        <v>56</v>
      </c>
      <c r="K110" s="79"/>
      <c r="L110" t="s">
        <v>43</v>
      </c>
      <c r="M110" s="75" t="s">
        <v>1139</v>
      </c>
      <c r="N110" s="73" t="s">
        <v>1166</v>
      </c>
      <c r="O110" s="75" t="s">
        <v>800</v>
      </c>
      <c r="Q110" s="80" t="s">
        <v>388</v>
      </c>
      <c r="R110" s="77" t="s">
        <v>1005</v>
      </c>
      <c r="S110" s="128" t="str">
        <f t="shared" si="12"/>
        <v>Z:\projects\onc-prj-shr1210\sub-csr\prt-336\09_txt\t-teae-socpt-wd-apt-rel.txt</v>
      </c>
      <c r="T110" s="128" t="str">
        <f t="shared" si="13"/>
        <v>Z:\projects\onc-prj-shr1210\sub-csr\prt-336\11_output\t14-03-002-003-008-teae-socpt-wd-apt-rel.rtf</v>
      </c>
    </row>
    <row r="111" spans="1:20" ht="14.15" customHeight="1" x14ac:dyDescent="0.3">
      <c r="A111" s="74" t="s">
        <v>172</v>
      </c>
      <c r="C111" s="76" t="s">
        <v>389</v>
      </c>
      <c r="D111" s="108" t="s">
        <v>390</v>
      </c>
      <c r="E111" s="76"/>
      <c r="F111" s="76"/>
      <c r="G111" s="77" t="str">
        <f t="shared" si="11"/>
        <v>t14-03-002-003-009-teae-socpt-int-apt-rel.rtf</v>
      </c>
      <c r="H111" s="77" t="s">
        <v>761</v>
      </c>
      <c r="I111" s="57" t="s">
        <v>56</v>
      </c>
      <c r="K111" s="79"/>
      <c r="L111" t="s">
        <v>43</v>
      </c>
      <c r="M111" s="75" t="s">
        <v>1139</v>
      </c>
      <c r="N111" s="73" t="s">
        <v>1166</v>
      </c>
      <c r="O111" s="75" t="s">
        <v>800</v>
      </c>
      <c r="Q111" s="80" t="s">
        <v>391</v>
      </c>
      <c r="R111" s="77" t="s">
        <v>1006</v>
      </c>
      <c r="S111" s="128" t="str">
        <f t="shared" si="12"/>
        <v>Z:\projects\onc-prj-shr1210\sub-csr\prt-336\09_txt\t-teae-socpt-int-apt-rel.txt</v>
      </c>
      <c r="T111" s="128" t="str">
        <f t="shared" si="13"/>
        <v>Z:\projects\onc-prj-shr1210\sub-csr\prt-336\11_output\t14-03-002-003-009-teae-socpt-int-apt-rel.rtf</v>
      </c>
    </row>
    <row r="112" spans="1:20" ht="14.15" customHeight="1" x14ac:dyDescent="0.3">
      <c r="A112" s="74" t="s">
        <v>172</v>
      </c>
      <c r="C112" s="76" t="s">
        <v>392</v>
      </c>
      <c r="D112" s="108" t="s">
        <v>393</v>
      </c>
      <c r="E112" s="76"/>
      <c r="F112" s="76"/>
      <c r="G112" s="77" t="s">
        <v>1112</v>
      </c>
      <c r="H112" s="77" t="s">
        <v>762</v>
      </c>
      <c r="I112" s="57" t="s">
        <v>56</v>
      </c>
      <c r="K112" s="79"/>
      <c r="L112" t="s">
        <v>43</v>
      </c>
      <c r="M112" s="75" t="s">
        <v>1139</v>
      </c>
      <c r="N112" s="73" t="s">
        <v>1166</v>
      </c>
      <c r="O112" s="75" t="s">
        <v>800</v>
      </c>
      <c r="Q112" s="80" t="s">
        <v>394</v>
      </c>
      <c r="R112" s="77" t="s">
        <v>1007</v>
      </c>
      <c r="S112" s="128" t="str">
        <f t="shared" si="12"/>
        <v>Z:\projects\onc-prj-shr1210\sub-csr\prt-336\09_txt\t-teae-socpt-dr-apt-rel.txt</v>
      </c>
      <c r="T112" s="128" t="str">
        <f t="shared" si="13"/>
        <v>Z:\projects\onc-prj-shr1210\sub-csr\prt-336\11_output\t14-03-002-003-010-teae-socpt-dr-apt-rel.rtf</v>
      </c>
    </row>
    <row r="113" spans="1:20" ht="14.15" customHeight="1" x14ac:dyDescent="0.3">
      <c r="A113" s="74" t="s">
        <v>172</v>
      </c>
      <c r="C113" s="76" t="s">
        <v>395</v>
      </c>
      <c r="D113" s="108" t="s">
        <v>396</v>
      </c>
      <c r="E113" s="125" t="s">
        <v>899</v>
      </c>
      <c r="F113" s="125"/>
      <c r="G113" s="77" t="s">
        <v>1113</v>
      </c>
      <c r="H113" s="77" t="s">
        <v>763</v>
      </c>
      <c r="I113" s="57" t="s">
        <v>56</v>
      </c>
      <c r="K113" s="79"/>
      <c r="L113" t="s">
        <v>43</v>
      </c>
      <c r="M113" s="75" t="s">
        <v>1139</v>
      </c>
      <c r="N113" s="73" t="s">
        <v>1166</v>
      </c>
      <c r="O113" s="75" t="s">
        <v>800</v>
      </c>
      <c r="Q113" s="80" t="s">
        <v>397</v>
      </c>
      <c r="R113" s="77" t="s">
        <v>1008</v>
      </c>
      <c r="S113" s="128" t="str">
        <f t="shared" si="12"/>
        <v>Z:\projects\onc-prj-shr1210\sub-csr\prt-336\09_txt\t-teae-socpt-intdr.txt</v>
      </c>
      <c r="T113" s="128" t="str">
        <f t="shared" si="13"/>
        <v>Z:\projects\onc-prj-shr1210\sub-csr\prt-336\11_output\t14-03-002-003-011-teae-socpt-intdr.rtf</v>
      </c>
    </row>
    <row r="114" spans="1:20" ht="14.15" customHeight="1" x14ac:dyDescent="0.3">
      <c r="A114" s="74" t="s">
        <v>172</v>
      </c>
      <c r="C114" s="76" t="s">
        <v>398</v>
      </c>
      <c r="D114" s="108" t="s">
        <v>856</v>
      </c>
      <c r="E114" s="125" t="s">
        <v>899</v>
      </c>
      <c r="F114" s="132" t="s">
        <v>1135</v>
      </c>
      <c r="G114" s="77" t="s">
        <v>1114</v>
      </c>
      <c r="H114" s="77" t="s">
        <v>764</v>
      </c>
      <c r="I114" s="57" t="s">
        <v>56</v>
      </c>
      <c r="K114" s="79"/>
      <c r="L114" t="s">
        <v>43</v>
      </c>
      <c r="M114" s="75" t="s">
        <v>1139</v>
      </c>
      <c r="N114" s="73" t="s">
        <v>1166</v>
      </c>
      <c r="O114" s="75" t="s">
        <v>800</v>
      </c>
      <c r="Q114" s="80" t="s">
        <v>399</v>
      </c>
      <c r="R114" s="77" t="s">
        <v>1009</v>
      </c>
      <c r="S114" s="128" t="str">
        <f t="shared" si="12"/>
        <v>Z:\projects\onc-prj-shr1210\sub-csr\prt-336\09_txt\t-teae-socpt-wd.txt</v>
      </c>
      <c r="T114" s="128" t="str">
        <f t="shared" si="13"/>
        <v>Z:\projects\onc-prj-shr1210\sub-csr\prt-336\11_output\t14-03-002-003-012-teae-socpt-wd.rtf</v>
      </c>
    </row>
    <row r="115" spans="1:20" ht="14.15" customHeight="1" x14ac:dyDescent="0.3">
      <c r="A115" s="74" t="s">
        <v>172</v>
      </c>
      <c r="C115" s="76" t="s">
        <v>400</v>
      </c>
      <c r="D115" s="140" t="s">
        <v>1132</v>
      </c>
      <c r="E115" s="125" t="s">
        <v>899</v>
      </c>
      <c r="F115" s="125"/>
      <c r="G115" s="77" t="s">
        <v>1115</v>
      </c>
      <c r="H115" s="77" t="s">
        <v>765</v>
      </c>
      <c r="I115" s="57" t="s">
        <v>56</v>
      </c>
      <c r="K115" s="79"/>
      <c r="L115" t="s">
        <v>43</v>
      </c>
      <c r="M115" s="75" t="s">
        <v>1139</v>
      </c>
      <c r="N115" s="73" t="s">
        <v>1166</v>
      </c>
      <c r="O115" s="75" t="s">
        <v>800</v>
      </c>
      <c r="Q115" s="80" t="s">
        <v>1130</v>
      </c>
      <c r="R115" s="77" t="s">
        <v>1010</v>
      </c>
      <c r="S115" s="128" t="str">
        <f t="shared" si="12"/>
        <v>Z:\projects\onc-prj-shr1210\sub-csr\prt-336\09_txt\t-teae-socpt-intdr-rel.txt</v>
      </c>
      <c r="T115" s="128" t="str">
        <f t="shared" si="13"/>
        <v>Z:\projects\onc-prj-shr1210\sub-csr\prt-336\11_output\t14-03-002-003-013-teae-socpt-intdr-rel.rtf</v>
      </c>
    </row>
    <row r="116" spans="1:20" ht="14.15" customHeight="1" x14ac:dyDescent="0.3">
      <c r="A116" s="74" t="s">
        <v>172</v>
      </c>
      <c r="C116" s="76" t="s">
        <v>401</v>
      </c>
      <c r="D116" s="140" t="s">
        <v>1133</v>
      </c>
      <c r="E116" s="125" t="s">
        <v>899</v>
      </c>
      <c r="F116" s="125"/>
      <c r="G116" s="77" t="s">
        <v>1116</v>
      </c>
      <c r="H116" s="77" t="s">
        <v>766</v>
      </c>
      <c r="I116" s="57" t="s">
        <v>56</v>
      </c>
      <c r="K116" s="79"/>
      <c r="L116" t="s">
        <v>43</v>
      </c>
      <c r="M116" s="75" t="s">
        <v>1139</v>
      </c>
      <c r="N116" s="73" t="s">
        <v>1166</v>
      </c>
      <c r="O116" s="75" t="s">
        <v>800</v>
      </c>
      <c r="Q116" s="80" t="s">
        <v>1131</v>
      </c>
      <c r="R116" s="77" t="s">
        <v>1011</v>
      </c>
      <c r="S116" s="128" t="str">
        <f t="shared" si="12"/>
        <v>Z:\projects\onc-prj-shr1210\sub-csr\prt-336\09_txt\t-teae-socpt-wd-rel.txt</v>
      </c>
      <c r="T116" s="128" t="str">
        <f t="shared" si="13"/>
        <v>Z:\projects\onc-prj-shr1210\sub-csr\prt-336\11_output\t14-03-002-003-014-teae-socpt-wd-rel.rtf</v>
      </c>
    </row>
    <row r="117" spans="1:20" x14ac:dyDescent="0.3">
      <c r="A117" s="74" t="s">
        <v>172</v>
      </c>
      <c r="C117" s="76" t="s">
        <v>402</v>
      </c>
      <c r="D117" s="108" t="s">
        <v>403</v>
      </c>
      <c r="E117" s="125" t="s">
        <v>899</v>
      </c>
      <c r="F117" s="132" t="s">
        <v>1135</v>
      </c>
      <c r="G117" s="77" t="s">
        <v>1117</v>
      </c>
      <c r="H117" s="77" t="s">
        <v>767</v>
      </c>
      <c r="I117" s="57" t="s">
        <v>56</v>
      </c>
      <c r="K117" s="79"/>
      <c r="L117" t="s">
        <v>43</v>
      </c>
      <c r="M117" s="75" t="s">
        <v>369</v>
      </c>
      <c r="N117" s="73" t="s">
        <v>1166</v>
      </c>
      <c r="O117" s="75" t="s">
        <v>800</v>
      </c>
      <c r="R117" s="77" t="s">
        <v>1012</v>
      </c>
      <c r="S117" s="128" t="str">
        <f t="shared" si="12"/>
        <v>Z:\projects\onc-prj-shr1210\sub-csr\prt-336\09_txt\t-teae-socpt-dth.txt</v>
      </c>
      <c r="T117" s="128" t="str">
        <f t="shared" si="13"/>
        <v>Z:\projects\onc-prj-shr1210\sub-csr\prt-336\11_output\t14-03-002-003-015-teae-socpt-dth.rtf</v>
      </c>
    </row>
    <row r="118" spans="1:20" x14ac:dyDescent="0.3">
      <c r="A118" s="74" t="s">
        <v>172</v>
      </c>
      <c r="C118" s="76" t="s">
        <v>404</v>
      </c>
      <c r="D118" s="108" t="s">
        <v>405</v>
      </c>
      <c r="E118" s="125" t="s">
        <v>899</v>
      </c>
      <c r="F118" s="132" t="s">
        <v>1135</v>
      </c>
      <c r="G118" s="77" t="s">
        <v>1118</v>
      </c>
      <c r="H118" s="77" t="s">
        <v>768</v>
      </c>
      <c r="I118" s="57" t="s">
        <v>56</v>
      </c>
      <c r="K118" s="79"/>
      <c r="L118" t="s">
        <v>43</v>
      </c>
      <c r="M118" s="75" t="s">
        <v>369</v>
      </c>
      <c r="N118" s="73" t="s">
        <v>1166</v>
      </c>
      <c r="O118" s="75" t="s">
        <v>800</v>
      </c>
      <c r="Q118" s="80" t="s">
        <v>406</v>
      </c>
      <c r="R118" s="77" t="s">
        <v>1013</v>
      </c>
      <c r="S118" s="128" t="str">
        <f t="shared" si="12"/>
        <v>Z:\projects\onc-prj-shr1210\sub-csr\prt-336\09_txt\t-teae-socpt-dth-inv-rel.txt</v>
      </c>
      <c r="T118" s="128" t="str">
        <f t="shared" si="13"/>
        <v>Z:\projects\onc-prj-shr1210\sub-csr\prt-336\11_output\t14-03-002-003-016-teae-socpt-dth-inv-rel.rtf</v>
      </c>
    </row>
    <row r="119" spans="1:20" x14ac:dyDescent="0.3">
      <c r="A119" s="74" t="s">
        <v>172</v>
      </c>
      <c r="C119" s="76" t="s">
        <v>407</v>
      </c>
      <c r="D119" s="163" t="s">
        <v>1282</v>
      </c>
      <c r="E119" s="76"/>
      <c r="F119" s="76"/>
      <c r="G119" s="77" t="s">
        <v>1119</v>
      </c>
      <c r="H119" s="77" t="s">
        <v>769</v>
      </c>
      <c r="I119" s="57" t="s">
        <v>56</v>
      </c>
      <c r="K119" s="79"/>
      <c r="L119" t="s">
        <v>43</v>
      </c>
      <c r="M119" s="75" t="s">
        <v>1139</v>
      </c>
      <c r="N119" s="73" t="s">
        <v>1166</v>
      </c>
      <c r="O119" s="75" t="s">
        <v>800</v>
      </c>
      <c r="Q119" s="80" t="s">
        <v>408</v>
      </c>
      <c r="R119" s="77" t="s">
        <v>1014</v>
      </c>
      <c r="S119" s="128" t="str">
        <f t="shared" si="12"/>
        <v>Z:\projects\onc-prj-shr1210\sub-csr\prt-336\09_txt\t-teae-socpt-dth-rel.txt</v>
      </c>
      <c r="T119" s="128" t="str">
        <f t="shared" si="13"/>
        <v>Z:\projects\onc-prj-shr1210\sub-csr\prt-336\11_output\t14-03-002-003-017-teae-socpt-dth-rel.rtf</v>
      </c>
    </row>
    <row r="120" spans="1:20" x14ac:dyDescent="0.3">
      <c r="A120" s="74" t="s">
        <v>172</v>
      </c>
      <c r="C120" s="76" t="s">
        <v>409</v>
      </c>
      <c r="D120" s="135" t="s">
        <v>410</v>
      </c>
      <c r="E120" s="89"/>
      <c r="F120" s="89"/>
      <c r="G120" s="77" t="s">
        <v>1120</v>
      </c>
      <c r="H120" s="77" t="s">
        <v>770</v>
      </c>
      <c r="I120" s="57" t="s">
        <v>56</v>
      </c>
      <c r="K120" s="79"/>
      <c r="L120" t="s">
        <v>43</v>
      </c>
      <c r="M120" s="75" t="s">
        <v>369</v>
      </c>
      <c r="N120" s="73" t="s">
        <v>1166</v>
      </c>
      <c r="O120" s="75" t="s">
        <v>800</v>
      </c>
      <c r="Q120" s="80" t="s">
        <v>411</v>
      </c>
      <c r="R120" s="77" t="s">
        <v>1015</v>
      </c>
      <c r="S120" s="128" t="str">
        <f t="shared" si="12"/>
        <v>Z:\projects\onc-prj-shr1210\sub-csr\prt-336\09_txt\t-teae-socpt-tace-rel.txt</v>
      </c>
      <c r="T120" s="128" t="str">
        <f t="shared" si="13"/>
        <v>Z:\projects\onc-prj-shr1210\sub-csr\prt-336\11_output\t14-03-002-003-018-teae-socpt-tace-rel.rtf</v>
      </c>
    </row>
    <row r="121" spans="1:20" x14ac:dyDescent="0.3">
      <c r="A121" s="74" t="s">
        <v>172</v>
      </c>
      <c r="C121" s="76" t="s">
        <v>412</v>
      </c>
      <c r="D121" s="108" t="s">
        <v>413</v>
      </c>
      <c r="E121" s="130" t="s">
        <v>899</v>
      </c>
      <c r="F121" s="134" t="s">
        <v>1135</v>
      </c>
      <c r="G121" s="77" t="s">
        <v>1121</v>
      </c>
      <c r="H121" s="77" t="s">
        <v>771</v>
      </c>
      <c r="I121" s="57" t="s">
        <v>56</v>
      </c>
      <c r="K121" s="79"/>
      <c r="L121" t="s">
        <v>43</v>
      </c>
      <c r="M121" s="75" t="s">
        <v>1139</v>
      </c>
      <c r="N121" s="73" t="s">
        <v>1166</v>
      </c>
      <c r="O121" s="75" t="s">
        <v>800</v>
      </c>
      <c r="R121" s="77" t="s">
        <v>1016</v>
      </c>
      <c r="S121" s="128" t="str">
        <f t="shared" si="12"/>
        <v>Z:\projects\onc-prj-shr1210\sub-csr\prt-336\09_txt\t-teae-socpt-immu-rel.txt</v>
      </c>
      <c r="T121" s="128" t="str">
        <f t="shared" si="13"/>
        <v>Z:\projects\onc-prj-shr1210\sub-csr\prt-336\11_output\t14-03-002-003-019-teae-socpt-immu-rel.rtf</v>
      </c>
    </row>
    <row r="122" spans="1:20" x14ac:dyDescent="0.3">
      <c r="A122" s="74" t="s">
        <v>172</v>
      </c>
      <c r="C122" s="76" t="s">
        <v>414</v>
      </c>
      <c r="D122" s="135" t="s">
        <v>415</v>
      </c>
      <c r="E122" s="130" t="s">
        <v>899</v>
      </c>
      <c r="F122" s="134" t="s">
        <v>1135</v>
      </c>
      <c r="G122" s="77" t="s">
        <v>416</v>
      </c>
      <c r="H122" s="77" t="s">
        <v>843</v>
      </c>
      <c r="I122" s="57" t="s">
        <v>18</v>
      </c>
      <c r="L122" t="s">
        <v>43</v>
      </c>
      <c r="M122" s="75" t="s">
        <v>417</v>
      </c>
      <c r="N122" s="73" t="s">
        <v>1166</v>
      </c>
      <c r="O122" s="75" t="s">
        <v>800</v>
      </c>
      <c r="R122" s="77" t="s">
        <v>1017</v>
      </c>
      <c r="S122" s="128" t="str">
        <f t="shared" si="12"/>
        <v>Z:\projects\onc-prj-shr1210\sub-csr\prt-336\09_txt\t_adae_aesi_1.txt</v>
      </c>
      <c r="T122" s="128" t="str">
        <f t="shared" si="13"/>
        <v>Z:\projects\onc-prj-shr1210\sub-csr\prt-336\11_output\t14-03-002-003-020-adae-aesi-1.rtf</v>
      </c>
    </row>
    <row r="123" spans="1:20" x14ac:dyDescent="0.3">
      <c r="A123" s="74" t="s">
        <v>172</v>
      </c>
      <c r="C123" s="87" t="s">
        <v>418</v>
      </c>
      <c r="D123" s="108" t="s">
        <v>419</v>
      </c>
      <c r="E123" s="130" t="s">
        <v>899</v>
      </c>
      <c r="F123" s="134" t="s">
        <v>1135</v>
      </c>
      <c r="G123" s="77" t="s">
        <v>420</v>
      </c>
      <c r="H123" s="77" t="s">
        <v>844</v>
      </c>
      <c r="I123" s="57" t="s">
        <v>18</v>
      </c>
      <c r="L123" t="s">
        <v>43</v>
      </c>
      <c r="M123" s="75" t="s">
        <v>417</v>
      </c>
      <c r="N123" s="73" t="s">
        <v>1166</v>
      </c>
      <c r="O123" s="75" t="s">
        <v>800</v>
      </c>
      <c r="R123" s="77" t="s">
        <v>1018</v>
      </c>
      <c r="S123" s="128" t="str">
        <f t="shared" si="12"/>
        <v>Z:\projects\onc-prj-shr1210\sub-csr\prt-336\09_txt\t_adae_aesi_2.txt</v>
      </c>
      <c r="T123" s="128" t="str">
        <f t="shared" si="13"/>
        <v>Z:\projects\onc-prj-shr1210\sub-csr\prt-336\11_output\t14-03-002-003-021-adae-aesi-2.rtf</v>
      </c>
    </row>
    <row r="124" spans="1:20" x14ac:dyDescent="0.3">
      <c r="A124" s="74" t="s">
        <v>172</v>
      </c>
      <c r="C124" s="87" t="s">
        <v>421</v>
      </c>
      <c r="D124" s="108" t="s">
        <v>422</v>
      </c>
      <c r="E124" s="130" t="s">
        <v>899</v>
      </c>
      <c r="F124" s="134" t="s">
        <v>1135</v>
      </c>
      <c r="G124" s="77" t="s">
        <v>423</v>
      </c>
      <c r="H124" s="77" t="s">
        <v>845</v>
      </c>
      <c r="I124" s="57" t="s">
        <v>18</v>
      </c>
      <c r="L124" t="s">
        <v>43</v>
      </c>
      <c r="M124" s="75" t="s">
        <v>417</v>
      </c>
      <c r="N124" s="73" t="s">
        <v>1166</v>
      </c>
      <c r="O124" s="75" t="s">
        <v>800</v>
      </c>
      <c r="R124" s="77" t="s">
        <v>1019</v>
      </c>
      <c r="S124" s="128" t="str">
        <f t="shared" si="12"/>
        <v>Z:\projects\onc-prj-shr1210\sub-csr\prt-336\09_txt\t_adae_aesi_3.txt</v>
      </c>
      <c r="T124" s="128" t="str">
        <f t="shared" si="13"/>
        <v>Z:\projects\onc-prj-shr1210\sub-csr\prt-336\11_output\t14-03-002-003-022-adae-aesi-3.rtf</v>
      </c>
    </row>
    <row r="125" spans="1:20" x14ac:dyDescent="0.3">
      <c r="A125" s="74" t="s">
        <v>172</v>
      </c>
      <c r="C125" s="76" t="s">
        <v>424</v>
      </c>
      <c r="D125" s="141" t="s">
        <v>425</v>
      </c>
      <c r="E125" s="41"/>
      <c r="F125" s="41"/>
      <c r="G125" s="77" t="s">
        <v>1122</v>
      </c>
      <c r="H125" s="77" t="s">
        <v>772</v>
      </c>
      <c r="I125" s="57" t="s">
        <v>56</v>
      </c>
      <c r="L125" t="s">
        <v>43</v>
      </c>
      <c r="M125" s="75" t="s">
        <v>426</v>
      </c>
      <c r="N125" s="73" t="s">
        <v>1166</v>
      </c>
      <c r="O125" s="75" t="s">
        <v>800</v>
      </c>
      <c r="Q125" s="80" t="s">
        <v>846</v>
      </c>
      <c r="R125" s="77" t="s">
        <v>1020</v>
      </c>
      <c r="S125" s="128" t="str">
        <f t="shared" si="12"/>
        <v>Z:\projects\onc-prj-shr1210\sub-csr\prt-336\09_txt\t-teae-socpt-sen.txt</v>
      </c>
      <c r="T125" s="128" t="str">
        <f t="shared" si="13"/>
        <v>Z:\projects\onc-prj-shr1210\sub-csr\prt-336\11_output\t14-03-002-003-023-teae-socpt-sen.rtf</v>
      </c>
    </row>
    <row r="126" spans="1:20" x14ac:dyDescent="0.3">
      <c r="A126" s="74" t="s">
        <v>172</v>
      </c>
      <c r="C126" s="76" t="s">
        <v>427</v>
      </c>
      <c r="D126" s="141" t="s">
        <v>428</v>
      </c>
      <c r="E126" s="41"/>
      <c r="F126" s="41"/>
      <c r="G126" s="77" t="s">
        <v>1123</v>
      </c>
      <c r="H126" s="77" t="s">
        <v>755</v>
      </c>
      <c r="I126" s="57" t="s">
        <v>56</v>
      </c>
      <c r="L126" t="s">
        <v>43</v>
      </c>
      <c r="M126" s="75" t="s">
        <v>426</v>
      </c>
      <c r="N126" s="73" t="s">
        <v>1166</v>
      </c>
      <c r="O126" s="75" t="s">
        <v>800</v>
      </c>
      <c r="Q126" s="80" t="s">
        <v>847</v>
      </c>
      <c r="R126" s="77" t="s">
        <v>1021</v>
      </c>
      <c r="S126" s="128" t="str">
        <f t="shared" si="12"/>
        <v>Z:\projects\onc-prj-shr1210\sub-csr\prt-336\09_txt\t-teae-socpt-tr-sen.txt</v>
      </c>
      <c r="T126" s="128" t="str">
        <f t="shared" si="13"/>
        <v>Z:\projects\onc-prj-shr1210\sub-csr\prt-336\11_output\t14-03-002-003-024-teae-socpt-tr-sen.rtf</v>
      </c>
    </row>
    <row r="127" spans="1:20" x14ac:dyDescent="0.3">
      <c r="A127" s="74" t="s">
        <v>172</v>
      </c>
      <c r="C127" s="164" t="s">
        <v>429</v>
      </c>
      <c r="D127" s="165" t="s">
        <v>430</v>
      </c>
      <c r="E127" s="41"/>
      <c r="F127" s="41"/>
      <c r="G127" s="77" t="s">
        <v>1124</v>
      </c>
      <c r="H127" s="77" t="s">
        <v>754</v>
      </c>
      <c r="I127" s="57" t="s">
        <v>56</v>
      </c>
      <c r="L127" t="s">
        <v>43</v>
      </c>
      <c r="M127" s="75" t="s">
        <v>426</v>
      </c>
      <c r="N127" s="73" t="s">
        <v>1166</v>
      </c>
      <c r="O127" s="75" t="s">
        <v>800</v>
      </c>
      <c r="Q127" s="80" t="s">
        <v>1210</v>
      </c>
      <c r="R127" s="77" t="s">
        <v>1022</v>
      </c>
      <c r="S127" s="128" t="str">
        <f t="shared" si="12"/>
        <v>Z:\projects\onc-prj-shr1210\sub-csr\prt-336\09_txt\t-teae-socpt-inv-sen.txt</v>
      </c>
      <c r="T127" s="128" t="str">
        <f t="shared" si="13"/>
        <v>Z:\projects\onc-prj-shr1210\sub-csr\prt-336\11_output\t14-03-002-003-025-teae-socpt-inv-sen.rtf</v>
      </c>
    </row>
    <row r="128" spans="1:20" x14ac:dyDescent="0.3">
      <c r="A128" s="74" t="s">
        <v>172</v>
      </c>
      <c r="C128" s="164" t="s">
        <v>431</v>
      </c>
      <c r="D128" s="165" t="s">
        <v>432</v>
      </c>
      <c r="E128" s="41"/>
      <c r="F128" s="41"/>
      <c r="G128" s="77" t="s">
        <v>1125</v>
      </c>
      <c r="H128" s="77" t="s">
        <v>753</v>
      </c>
      <c r="I128" s="57" t="s">
        <v>56</v>
      </c>
      <c r="L128" t="s">
        <v>43</v>
      </c>
      <c r="M128" s="75" t="s">
        <v>426</v>
      </c>
      <c r="N128" s="73" t="s">
        <v>1166</v>
      </c>
      <c r="O128" s="75" t="s">
        <v>800</v>
      </c>
      <c r="Q128" s="80" t="s">
        <v>848</v>
      </c>
      <c r="R128" s="77" t="s">
        <v>1023</v>
      </c>
      <c r="S128" s="128" t="str">
        <f t="shared" si="12"/>
        <v>Z:\projects\onc-prj-shr1210\sub-csr\prt-336\09_txt\t-teae-socpt-cam-sen.txt</v>
      </c>
      <c r="T128" s="128" t="str">
        <f t="shared" si="13"/>
        <v>Z:\projects\onc-prj-shr1210\sub-csr\prt-336\11_output\t14-03-002-003-026-teae-socpt-cam-sen.rtf</v>
      </c>
    </row>
    <row r="129" spans="1:20" x14ac:dyDescent="0.3">
      <c r="A129" s="74" t="s">
        <v>172</v>
      </c>
      <c r="C129" s="164" t="s">
        <v>433</v>
      </c>
      <c r="D129" s="164" t="s">
        <v>434</v>
      </c>
      <c r="E129" s="76"/>
      <c r="F129" s="76"/>
      <c r="G129" s="77" t="s">
        <v>1126</v>
      </c>
      <c r="H129" s="77" t="s">
        <v>752</v>
      </c>
      <c r="I129" s="57" t="s">
        <v>56</v>
      </c>
      <c r="L129" t="s">
        <v>43</v>
      </c>
      <c r="M129" s="75" t="s">
        <v>426</v>
      </c>
      <c r="N129" s="73" t="s">
        <v>1166</v>
      </c>
      <c r="O129" s="75" t="s">
        <v>800</v>
      </c>
      <c r="Q129" s="80" t="s">
        <v>849</v>
      </c>
      <c r="R129" s="77" t="s">
        <v>1024</v>
      </c>
      <c r="S129" s="128" t="str">
        <f t="shared" si="12"/>
        <v>Z:\projects\onc-prj-shr1210\sub-csr\prt-336\09_txt\t-teae-socpt-apt-sen.txt</v>
      </c>
      <c r="T129" s="128" t="str">
        <f t="shared" si="13"/>
        <v>Z:\projects\onc-prj-shr1210\sub-csr\prt-336\11_output\t14-03-002-003-027-teae-socpt-apt-sen.rtf</v>
      </c>
    </row>
    <row r="130" spans="1:20" x14ac:dyDescent="0.3">
      <c r="A130" s="74" t="s">
        <v>172</v>
      </c>
      <c r="C130" s="99" t="s">
        <v>1283</v>
      </c>
      <c r="D130" s="108" t="s">
        <v>435</v>
      </c>
      <c r="E130" s="76"/>
      <c r="F130" s="76"/>
      <c r="G130" s="77" t="s">
        <v>1295</v>
      </c>
      <c r="H130" s="77" t="s">
        <v>751</v>
      </c>
      <c r="I130" s="57" t="s">
        <v>56</v>
      </c>
      <c r="L130" t="s">
        <v>43</v>
      </c>
      <c r="M130" s="75" t="s">
        <v>426</v>
      </c>
      <c r="N130" s="73" t="s">
        <v>1166</v>
      </c>
      <c r="O130" s="75" t="s">
        <v>800</v>
      </c>
      <c r="Q130" s="80" t="s">
        <v>850</v>
      </c>
      <c r="R130" s="77" t="s">
        <v>1025</v>
      </c>
      <c r="S130" s="128" t="str">
        <f t="shared" si="12"/>
        <v>Z:\projects\onc-prj-shr1210\sub-csr\prt-336\09_txt\t-teae-socpt-tace-sen.txt</v>
      </c>
      <c r="T130" s="128" t="str">
        <f t="shared" si="13"/>
        <v>Z:\projects\onc-prj-shr1210\sub-csr\prt-336\11_output\t14-03-002-003-025-teae-socpt-tace-sen.rtf</v>
      </c>
    </row>
    <row r="131" spans="1:20" x14ac:dyDescent="0.3">
      <c r="A131" s="74" t="s">
        <v>172</v>
      </c>
      <c r="C131" s="76" t="s">
        <v>436</v>
      </c>
      <c r="D131" s="108" t="s">
        <v>437</v>
      </c>
      <c r="E131" s="76"/>
      <c r="F131" s="76"/>
      <c r="G131" s="77" t="s">
        <v>438</v>
      </c>
      <c r="H131" s="77" t="s">
        <v>439</v>
      </c>
      <c r="I131" t="s">
        <v>19</v>
      </c>
      <c r="J131" s="73"/>
      <c r="K131" s="79"/>
      <c r="L131" s="77" t="s">
        <v>43</v>
      </c>
      <c r="M131" s="75" t="s">
        <v>690</v>
      </c>
      <c r="N131" s="73" t="s">
        <v>1166</v>
      </c>
      <c r="O131" s="75" t="s">
        <v>800</v>
      </c>
      <c r="R131" s="77" t="s">
        <v>1026</v>
      </c>
      <c r="S131" s="128" t="str">
        <f t="shared" si="12"/>
        <v>Z:\projects\onc-prj-shr1210\sub-csr\prt-336\09_txt\t-adlb-abn.txt</v>
      </c>
      <c r="T131" s="128" t="str">
        <f t="shared" si="13"/>
        <v>Z:\projects\onc-prj-shr1210\sub-csr\prt-336\11_output\t14-03-004-001-001-001-adlb-abn.rtf</v>
      </c>
    </row>
    <row r="132" spans="1:20" x14ac:dyDescent="0.3">
      <c r="A132" s="74" t="s">
        <v>172</v>
      </c>
      <c r="C132" s="76" t="s">
        <v>440</v>
      </c>
      <c r="D132" s="108" t="s">
        <v>441</v>
      </c>
      <c r="E132" s="76"/>
      <c r="F132" s="76"/>
      <c r="G132" s="77" t="s">
        <v>685</v>
      </c>
      <c r="H132" s="77" t="s">
        <v>684</v>
      </c>
      <c r="I132" t="s">
        <v>19</v>
      </c>
      <c r="J132" s="73"/>
      <c r="K132" s="79"/>
      <c r="L132" t="s">
        <v>67</v>
      </c>
      <c r="M132" s="75" t="s">
        <v>679</v>
      </c>
      <c r="N132" s="73" t="s">
        <v>1206</v>
      </c>
      <c r="O132" s="75" t="s">
        <v>800</v>
      </c>
      <c r="R132" s="77" t="s">
        <v>1027</v>
      </c>
      <c r="S132" s="128" t="str">
        <f t="shared" si="12"/>
        <v>Z:\projects\onc-prj-shr1210\sub-csr\prt-336\09_txt\t-adlb-shift.txt</v>
      </c>
      <c r="T132" s="128" t="str">
        <f t="shared" si="13"/>
        <v>Z:\projects\onc-prj-shr1210\sub-csr\prt-336\11_output\t14-03-004-001-001-002-adlb-shift.rtf</v>
      </c>
    </row>
    <row r="133" spans="1:20" x14ac:dyDescent="0.3">
      <c r="A133" s="74" t="s">
        <v>172</v>
      </c>
      <c r="C133" s="76" t="s">
        <v>442</v>
      </c>
      <c r="D133" s="108" t="s">
        <v>443</v>
      </c>
      <c r="E133" s="76"/>
      <c r="F133" s="76"/>
      <c r="G133" s="77" t="s">
        <v>775</v>
      </c>
      <c r="H133" s="77" t="s">
        <v>687</v>
      </c>
      <c r="I133" t="s">
        <v>19</v>
      </c>
      <c r="J133" s="73"/>
      <c r="K133" s="79"/>
      <c r="L133" t="s">
        <v>67</v>
      </c>
      <c r="M133" s="75" t="s">
        <v>773</v>
      </c>
      <c r="N133" s="73" t="s">
        <v>1206</v>
      </c>
      <c r="O133" s="75" t="s">
        <v>800</v>
      </c>
      <c r="R133" s="77" t="s">
        <v>1028</v>
      </c>
      <c r="S133" s="128" t="str">
        <f t="shared" si="12"/>
        <v>Z:\projects\onc-prj-shr1210\sub-csr\prt-336\09_txt\t-adlb-ctcae-sum.txt</v>
      </c>
      <c r="T133" s="128" t="str">
        <f t="shared" si="13"/>
        <v>Z:\projects\onc-prj-shr1210\sub-csr\prt-336\11_output\t14-03-004-001-001-003-adlb-ctcae-sum.rtf</v>
      </c>
    </row>
    <row r="134" spans="1:20" x14ac:dyDescent="0.3">
      <c r="A134" s="74" t="s">
        <v>172</v>
      </c>
      <c r="C134" s="76" t="s">
        <v>444</v>
      </c>
      <c r="D134" s="108" t="s">
        <v>445</v>
      </c>
      <c r="E134" s="76"/>
      <c r="F134" s="76"/>
      <c r="G134" s="77" t="s">
        <v>446</v>
      </c>
      <c r="H134" s="77" t="s">
        <v>686</v>
      </c>
      <c r="I134" t="s">
        <v>19</v>
      </c>
      <c r="J134" s="73"/>
      <c r="K134" s="79"/>
      <c r="L134" t="s">
        <v>67</v>
      </c>
      <c r="M134" s="75" t="s">
        <v>774</v>
      </c>
      <c r="N134" s="73" t="s">
        <v>1206</v>
      </c>
      <c r="O134" s="75" t="s">
        <v>800</v>
      </c>
      <c r="R134" s="77" t="s">
        <v>1029</v>
      </c>
      <c r="S134" s="128" t="str">
        <f t="shared" si="12"/>
        <v>Z:\projects\onc-prj-shr1210\sub-csr\prt-336\09_txt\t-adlb-ctcae-shift.txt</v>
      </c>
      <c r="T134" s="128" t="str">
        <f t="shared" si="13"/>
        <v>Z:\projects\onc-prj-shr1210\sub-csr\prt-336\11_output\t14-03-004-001-001-004-adlb-ctcae-shift.rtf</v>
      </c>
    </row>
    <row r="135" spans="1:20" x14ac:dyDescent="0.3">
      <c r="A135" s="74" t="s">
        <v>172</v>
      </c>
      <c r="C135" s="76" t="s">
        <v>447</v>
      </c>
      <c r="D135" s="108" t="s">
        <v>448</v>
      </c>
      <c r="E135" s="76"/>
      <c r="F135" s="76"/>
      <c r="G135" s="77" t="s">
        <v>449</v>
      </c>
      <c r="H135" s="77" t="s">
        <v>253</v>
      </c>
      <c r="I135" t="s">
        <v>19</v>
      </c>
      <c r="J135" s="73"/>
      <c r="K135" s="79"/>
      <c r="L135" s="77" t="s">
        <v>43</v>
      </c>
      <c r="M135" s="75" t="s">
        <v>689</v>
      </c>
      <c r="N135" s="73" t="s">
        <v>1166</v>
      </c>
      <c r="O135" s="75" t="s">
        <v>800</v>
      </c>
      <c r="R135" s="77" t="s">
        <v>1030</v>
      </c>
      <c r="S135" s="128" t="str">
        <f t="shared" si="12"/>
        <v>Z:\projects\onc-prj-shr1210\sub-csr\prt-336\09_txt\t-adlb-hylaw.txt</v>
      </c>
      <c r="T135" s="128" t="str">
        <f t="shared" si="13"/>
        <v>Z:\projects\onc-prj-shr1210\sub-csr\prt-336\11_output\t14-03-004-001-002-001-adlb-hylaw.rtf</v>
      </c>
    </row>
    <row r="136" spans="1:20" ht="14.5" x14ac:dyDescent="0.3">
      <c r="A136" s="74" t="s">
        <v>172</v>
      </c>
      <c r="C136" s="76" t="s">
        <v>450</v>
      </c>
      <c r="D136" s="108" t="s">
        <v>451</v>
      </c>
      <c r="E136" s="76"/>
      <c r="F136" s="76"/>
      <c r="G136" s="77" t="s">
        <v>452</v>
      </c>
      <c r="H136" s="77" t="s">
        <v>253</v>
      </c>
      <c r="I136" t="s">
        <v>19</v>
      </c>
      <c r="J136" s="73"/>
      <c r="K136" s="79"/>
      <c r="L136" t="s">
        <v>67</v>
      </c>
      <c r="M136" s="75" t="s">
        <v>680</v>
      </c>
      <c r="N136" s="73" t="s">
        <v>1206</v>
      </c>
      <c r="O136" s="75" t="s">
        <v>800</v>
      </c>
      <c r="P136" s="101"/>
      <c r="R136" s="77" t="s">
        <v>1031</v>
      </c>
      <c r="S136" s="128" t="str">
        <f t="shared" si="12"/>
        <v>Z:\projects\onc-prj-shr1210\sub-csr\prt-336\09_txt\t-advs-sum.txt</v>
      </c>
      <c r="T136" s="128" t="str">
        <f t="shared" si="13"/>
        <v>Z:\projects\onc-prj-shr1210\sub-csr\prt-336\11_output\t14-03-004-002-001-advs-sum.rtf</v>
      </c>
    </row>
    <row r="137" spans="1:20" x14ac:dyDescent="0.3">
      <c r="A137" s="74" t="s">
        <v>172</v>
      </c>
      <c r="C137" s="76" t="s">
        <v>453</v>
      </c>
      <c r="D137" s="108" t="s">
        <v>454</v>
      </c>
      <c r="E137" s="76"/>
      <c r="F137" s="76"/>
      <c r="G137" t="s">
        <v>455</v>
      </c>
      <c r="H137" s="77" t="s">
        <v>253</v>
      </c>
      <c r="I137" t="s">
        <v>19</v>
      </c>
      <c r="J137" s="73"/>
      <c r="K137" s="79"/>
      <c r="L137" t="s">
        <v>67</v>
      </c>
      <c r="M137" s="75" t="s">
        <v>680</v>
      </c>
      <c r="N137" s="73" t="s">
        <v>1206</v>
      </c>
      <c r="O137" s="75" t="s">
        <v>800</v>
      </c>
      <c r="R137" s="77" t="s">
        <v>1032</v>
      </c>
      <c r="S137" s="128" t="str">
        <f t="shared" ref="S137:S169" si="14">HYPERLINK(_xlfn.CONCAT("Z:\projects\onc-prj-shr1210\sub-csr\prt-336\09_txt\",R137))</f>
        <v>Z:\projects\onc-prj-shr1210\sub-csr\prt-336\09_txt\t-adeg-sum.txt</v>
      </c>
      <c r="T137" s="128" t="str">
        <f t="shared" ref="T137:T169" si="15">HYPERLINK(_xlfn.CONCAT("Z:\projects\onc-prj-shr1210\sub-csr\prt-336\11_output\",G137))</f>
        <v>Z:\projects\onc-prj-shr1210\sub-csr\prt-336\11_output\t14-03-004-003-001-adeg-sum.rtf</v>
      </c>
    </row>
    <row r="138" spans="1:20" x14ac:dyDescent="0.3">
      <c r="A138" s="74" t="s">
        <v>172</v>
      </c>
      <c r="C138" s="76" t="s">
        <v>456</v>
      </c>
      <c r="D138" s="108" t="s">
        <v>457</v>
      </c>
      <c r="E138" s="76"/>
      <c r="F138" s="76"/>
      <c r="G138" s="77" t="s">
        <v>458</v>
      </c>
      <c r="H138" s="77" t="s">
        <v>253</v>
      </c>
      <c r="I138" t="s">
        <v>19</v>
      </c>
      <c r="J138" s="73"/>
      <c r="K138" s="79"/>
      <c r="L138" t="s">
        <v>67</v>
      </c>
      <c r="M138" s="75" t="s">
        <v>681</v>
      </c>
      <c r="N138" s="73" t="s">
        <v>1206</v>
      </c>
      <c r="O138" s="75" t="s">
        <v>800</v>
      </c>
      <c r="R138" s="77" t="s">
        <v>1033</v>
      </c>
      <c r="S138" s="128" t="str">
        <f t="shared" si="14"/>
        <v>Z:\projects\onc-prj-shr1210\sub-csr\prt-336\09_txt\t-adeg-cat-sum.txt</v>
      </c>
      <c r="T138" s="128" t="str">
        <f t="shared" si="15"/>
        <v>Z:\projects\onc-prj-shr1210\sub-csr\prt-336\11_output\t14-03-004-003-002-adeg-cat-sum.rtf</v>
      </c>
    </row>
    <row r="139" spans="1:20" x14ac:dyDescent="0.3">
      <c r="A139" s="74" t="s">
        <v>172</v>
      </c>
      <c r="C139" s="76" t="s">
        <v>459</v>
      </c>
      <c r="D139" s="108" t="s">
        <v>460</v>
      </c>
      <c r="E139" s="76"/>
      <c r="F139" s="76"/>
      <c r="G139" s="77" t="s">
        <v>657</v>
      </c>
      <c r="H139" s="77" t="s">
        <v>461</v>
      </c>
      <c r="I139" t="s">
        <v>19</v>
      </c>
      <c r="J139" s="73"/>
      <c r="K139" s="79"/>
      <c r="L139" t="s">
        <v>67</v>
      </c>
      <c r="M139" s="75" t="s">
        <v>682</v>
      </c>
      <c r="N139" s="73" t="s">
        <v>1206</v>
      </c>
      <c r="O139" s="75" t="s">
        <v>800</v>
      </c>
      <c r="R139" s="77" t="s">
        <v>1034</v>
      </c>
      <c r="S139" s="128" t="str">
        <f t="shared" si="14"/>
        <v>Z:\projects\onc-prj-shr1210\sub-csr\prt-336\09_txt\t-adeg-shift.txt</v>
      </c>
      <c r="T139" s="128" t="str">
        <f t="shared" si="15"/>
        <v>Z:\projects\onc-prj-shr1210\sub-csr\prt-336\11_output\t14-03-004-003-003-adeg-shift.rtf</v>
      </c>
    </row>
    <row r="140" spans="1:20" ht="14.15" customHeight="1" x14ac:dyDescent="0.3">
      <c r="A140" s="74" t="s">
        <v>172</v>
      </c>
      <c r="C140" s="76" t="s">
        <v>462</v>
      </c>
      <c r="D140" s="108" t="s">
        <v>463</v>
      </c>
      <c r="E140" s="76"/>
      <c r="F140" s="76"/>
      <c r="G140" s="77" t="s">
        <v>464</v>
      </c>
      <c r="H140" s="77" t="s">
        <v>465</v>
      </c>
      <c r="I140" t="s">
        <v>67</v>
      </c>
      <c r="J140" s="73" t="s">
        <v>1206</v>
      </c>
      <c r="K140" s="79"/>
      <c r="L140" t="s">
        <v>18</v>
      </c>
      <c r="M140" s="75" t="s">
        <v>1176</v>
      </c>
      <c r="N140" s="73" t="s">
        <v>1171</v>
      </c>
      <c r="O140" s="75" t="s">
        <v>800</v>
      </c>
      <c r="R140" s="77" t="s">
        <v>1035</v>
      </c>
      <c r="S140" s="128" t="str">
        <f t="shared" si="14"/>
        <v>Z:\projects\onc-prj-shr1210\sub-csr\prt-336\09_txt\t_adqs_sum_c30.txt</v>
      </c>
      <c r="T140" s="128" t="str">
        <f t="shared" si="15"/>
        <v>Z:\projects\onc-prj-shr1210\sub-csr\prt-336\11_output\t14-03-004-005-002-001-adqs-sum-c30.rtf</v>
      </c>
    </row>
    <row r="141" spans="1:20" ht="14.15" customHeight="1" x14ac:dyDescent="0.3">
      <c r="A141" s="74" t="s">
        <v>172</v>
      </c>
      <c r="C141" s="76" t="s">
        <v>466</v>
      </c>
      <c r="D141" s="108" t="s">
        <v>467</v>
      </c>
      <c r="E141" s="76"/>
      <c r="F141" s="76"/>
      <c r="G141" s="77" t="s">
        <v>468</v>
      </c>
      <c r="H141" s="77" t="s">
        <v>469</v>
      </c>
      <c r="I141" t="s">
        <v>67</v>
      </c>
      <c r="J141" s="73" t="s">
        <v>1168</v>
      </c>
      <c r="K141" s="79"/>
      <c r="L141" t="s">
        <v>18</v>
      </c>
      <c r="M141" s="75" t="s">
        <v>1177</v>
      </c>
      <c r="N141" s="73" t="s">
        <v>1171</v>
      </c>
      <c r="O141" s="75" t="s">
        <v>800</v>
      </c>
      <c r="R141" s="77" t="s">
        <v>1036</v>
      </c>
      <c r="S141" s="128" t="str">
        <f t="shared" si="14"/>
        <v>Z:\projects\onc-prj-shr1210\sub-csr\prt-336\09_txt\t_adqs_chg_sum_c30.txt</v>
      </c>
      <c r="T141" s="128" t="str">
        <f t="shared" si="15"/>
        <v>Z:\projects\onc-prj-shr1210\sub-csr\prt-336\11_output\t14-03-004-005-002-002-adqs-chg-sum-c30.rtf</v>
      </c>
    </row>
    <row r="142" spans="1:20" ht="14.15" customHeight="1" x14ac:dyDescent="0.3">
      <c r="A142" s="74" t="s">
        <v>172</v>
      </c>
      <c r="C142" s="76" t="s">
        <v>470</v>
      </c>
      <c r="D142" s="108" t="s">
        <v>471</v>
      </c>
      <c r="E142" s="76"/>
      <c r="F142" s="76"/>
      <c r="G142" s="77" t="s">
        <v>472</v>
      </c>
      <c r="H142" s="77" t="s">
        <v>658</v>
      </c>
      <c r="I142" t="s">
        <v>67</v>
      </c>
      <c r="J142" s="73" t="s">
        <v>1206</v>
      </c>
      <c r="K142" s="79"/>
      <c r="L142" t="s">
        <v>18</v>
      </c>
      <c r="M142" s="75" t="s">
        <v>1178</v>
      </c>
      <c r="N142" s="73" t="s">
        <v>1206</v>
      </c>
      <c r="O142" s="75" t="s">
        <v>800</v>
      </c>
      <c r="R142" s="77" t="s">
        <v>1037</v>
      </c>
      <c r="S142" s="128" t="str">
        <f t="shared" si="14"/>
        <v>Z:\projects\onc-prj-shr1210\sub-csr\prt-336\09_txt\t_adqs_mmrm_c30.txt</v>
      </c>
      <c r="T142" s="128" t="str">
        <f t="shared" si="15"/>
        <v>Z:\projects\onc-prj-shr1210\sub-csr\prt-336\11_output\t14-03-004-005-002-003-adqs-mmrm-c30.rtf</v>
      </c>
    </row>
    <row r="143" spans="1:20" ht="14.15" customHeight="1" x14ac:dyDescent="0.3">
      <c r="A143" s="74" t="s">
        <v>264</v>
      </c>
      <c r="C143" s="76" t="s">
        <v>474</v>
      </c>
      <c r="D143" s="108" t="s">
        <v>475</v>
      </c>
      <c r="E143" s="76"/>
      <c r="F143" s="76"/>
      <c r="G143" s="77" t="str">
        <f>SUBSTITUTE(LEFT(H143,1)&amp;SUBSTITUTE(SUBSTITUTE(C143,".","-00"),"-00","-0",1)&amp;MID(H143,2,100)&amp;".rtf","_","-")</f>
        <v>f14-03-004-005-002-004-qlqc30-mmrm.rtf</v>
      </c>
      <c r="H143" s="77" t="s">
        <v>750</v>
      </c>
      <c r="I143" s="57" t="s">
        <v>56</v>
      </c>
      <c r="J143" s="73"/>
      <c r="K143" s="79"/>
      <c r="L143" t="s">
        <v>18</v>
      </c>
      <c r="N143" s="73" t="s">
        <v>1206</v>
      </c>
      <c r="O143" s="75" t="s">
        <v>800</v>
      </c>
      <c r="P143" s="75" t="s">
        <v>1170</v>
      </c>
      <c r="Q143" s="80" t="s">
        <v>476</v>
      </c>
      <c r="R143" s="77" t="s">
        <v>1038</v>
      </c>
      <c r="S143" s="128" t="str">
        <f t="shared" si="14"/>
        <v>Z:\projects\onc-prj-shr1210\sub-csr\prt-336\09_txt\f-qlqc30-mmrm.txt</v>
      </c>
      <c r="T143" s="128" t="str">
        <f t="shared" si="15"/>
        <v>Z:\projects\onc-prj-shr1210\sub-csr\prt-336\11_output\f14-03-004-005-002-004-qlqc30-mmrm.rtf</v>
      </c>
    </row>
    <row r="144" spans="1:20" x14ac:dyDescent="0.3">
      <c r="A144" s="74" t="s">
        <v>172</v>
      </c>
      <c r="C144" s="76" t="s">
        <v>477</v>
      </c>
      <c r="D144" s="108" t="s">
        <v>478</v>
      </c>
      <c r="E144" s="76"/>
      <c r="F144" s="76"/>
      <c r="G144" s="77" t="s">
        <v>479</v>
      </c>
      <c r="H144" s="77" t="s">
        <v>480</v>
      </c>
      <c r="I144" t="s">
        <v>67</v>
      </c>
      <c r="J144" s="73" t="s">
        <v>1168</v>
      </c>
      <c r="K144" s="79"/>
      <c r="L144" t="s">
        <v>18</v>
      </c>
      <c r="M144" s="75" t="s">
        <v>1179</v>
      </c>
      <c r="N144" s="73" t="s">
        <v>1171</v>
      </c>
      <c r="O144" s="75" t="s">
        <v>800</v>
      </c>
      <c r="R144" s="77" t="s">
        <v>1039</v>
      </c>
      <c r="S144" s="128" t="str">
        <f t="shared" si="14"/>
        <v>Z:\projects\onc-prj-shr1210\sub-csr\prt-336\09_txt\t_adtteqs_ttd.txt</v>
      </c>
      <c r="T144" s="128" t="str">
        <f t="shared" si="15"/>
        <v>Z:\projects\onc-prj-shr1210\sub-csr\prt-336\11_output\t14-03-004-005-002-005-adtteqs-ttd.rtf</v>
      </c>
    </row>
    <row r="145" spans="1:20" ht="14.15" customHeight="1" x14ac:dyDescent="0.3">
      <c r="A145" s="74" t="s">
        <v>264</v>
      </c>
      <c r="C145" s="76" t="s">
        <v>481</v>
      </c>
      <c r="D145" s="108" t="s">
        <v>482</v>
      </c>
      <c r="E145" s="76"/>
      <c r="F145" s="76"/>
      <c r="G145" s="77" t="str">
        <f>SUBSTITUTE(LEFT(H145,1)&amp;SUBSTITUTE(SUBSTITUTE(C145,".","-00"),"-00","-0",1)&amp;MID(H145,2,100)&amp;".rtf","_","-")</f>
        <v>f14-03-004-005-002-006-km-qlqc30.rtf</v>
      </c>
      <c r="H145" s="77" t="s">
        <v>749</v>
      </c>
      <c r="I145" s="57" t="s">
        <v>56</v>
      </c>
      <c r="J145" s="73"/>
      <c r="K145" s="79"/>
      <c r="L145" s="77" t="s">
        <v>43</v>
      </c>
      <c r="M145" s="75" t="s">
        <v>668</v>
      </c>
      <c r="N145" s="73" t="s">
        <v>1166</v>
      </c>
      <c r="O145" s="75" t="s">
        <v>800</v>
      </c>
      <c r="Q145" s="75" t="s">
        <v>483</v>
      </c>
      <c r="R145" s="77" t="s">
        <v>1040</v>
      </c>
      <c r="S145" s="128" t="str">
        <f t="shared" si="14"/>
        <v>Z:\projects\onc-prj-shr1210\sub-csr\prt-336\09_txt\f-km-qlqc30.txt</v>
      </c>
      <c r="T145" s="128" t="str">
        <f t="shared" si="15"/>
        <v>Z:\projects\onc-prj-shr1210\sub-csr\prt-336\11_output\f14-03-004-005-002-006-km-qlqc30.rtf</v>
      </c>
    </row>
    <row r="146" spans="1:20" ht="14.15" customHeight="1" x14ac:dyDescent="0.3">
      <c r="A146" s="74" t="s">
        <v>172</v>
      </c>
      <c r="C146" s="76" t="s">
        <v>484</v>
      </c>
      <c r="D146" s="108" t="s">
        <v>485</v>
      </c>
      <c r="E146" s="76"/>
      <c r="F146" s="76"/>
      <c r="G146" s="77" t="s">
        <v>486</v>
      </c>
      <c r="H146" s="77" t="s">
        <v>487</v>
      </c>
      <c r="I146" t="s">
        <v>67</v>
      </c>
      <c r="J146" s="73" t="s">
        <v>1168</v>
      </c>
      <c r="K146" s="79"/>
      <c r="L146" t="s">
        <v>18</v>
      </c>
      <c r="M146" s="75" t="s">
        <v>1176</v>
      </c>
      <c r="N146" s="73" t="s">
        <v>1171</v>
      </c>
      <c r="O146" s="75" t="s">
        <v>800</v>
      </c>
      <c r="R146" s="77" t="s">
        <v>1041</v>
      </c>
      <c r="S146" s="128" t="str">
        <f t="shared" si="14"/>
        <v>Z:\projects\onc-prj-shr1210\sub-csr\prt-336\09_txt\t_adqs_sum_hcc18.txt</v>
      </c>
      <c r="T146" s="128" t="str">
        <f t="shared" si="15"/>
        <v>Z:\projects\onc-prj-shr1210\sub-csr\prt-336\11_output\t14-03-004-005-003-001-adqs-sum-hcc18.rtf</v>
      </c>
    </row>
    <row r="147" spans="1:20" ht="14.15" customHeight="1" x14ac:dyDescent="0.3">
      <c r="A147" s="74" t="s">
        <v>172</v>
      </c>
      <c r="C147" s="76" t="s">
        <v>488</v>
      </c>
      <c r="D147" s="108" t="s">
        <v>489</v>
      </c>
      <c r="E147" s="76"/>
      <c r="F147" s="76"/>
      <c r="G147" s="77" t="s">
        <v>490</v>
      </c>
      <c r="H147" s="77" t="s">
        <v>491</v>
      </c>
      <c r="I147" t="s">
        <v>67</v>
      </c>
      <c r="J147" s="73" t="s">
        <v>1168</v>
      </c>
      <c r="K147" s="79"/>
      <c r="L147" t="s">
        <v>18</v>
      </c>
      <c r="M147" s="75" t="s">
        <v>1177</v>
      </c>
      <c r="N147" s="73" t="s">
        <v>1171</v>
      </c>
      <c r="O147" s="75" t="s">
        <v>800</v>
      </c>
      <c r="R147" s="77" t="s">
        <v>1042</v>
      </c>
      <c r="S147" s="128" t="str">
        <f t="shared" si="14"/>
        <v>Z:\projects\onc-prj-shr1210\sub-csr\prt-336\09_txt\t_adqs_chg_sum_hcc18.txt</v>
      </c>
      <c r="T147" s="128" t="str">
        <f t="shared" si="15"/>
        <v>Z:\projects\onc-prj-shr1210\sub-csr\prt-336\11_output\t14-03-004-005-003-002-adqs-chg-sum-hcc18.rtf</v>
      </c>
    </row>
    <row r="148" spans="1:20" ht="14.15" customHeight="1" x14ac:dyDescent="0.3">
      <c r="A148" s="74" t="s">
        <v>172</v>
      </c>
      <c r="C148" s="76" t="s">
        <v>492</v>
      </c>
      <c r="D148" s="108" t="s">
        <v>493</v>
      </c>
      <c r="E148" s="76"/>
      <c r="F148" s="76"/>
      <c r="G148" s="77" t="s">
        <v>494</v>
      </c>
      <c r="H148" s="77" t="s">
        <v>473</v>
      </c>
      <c r="I148" t="s">
        <v>67</v>
      </c>
      <c r="J148" s="73" t="s">
        <v>1168</v>
      </c>
      <c r="K148" s="79"/>
      <c r="L148" t="s">
        <v>18</v>
      </c>
      <c r="M148" s="75" t="s">
        <v>1180</v>
      </c>
      <c r="N148" s="73" t="s">
        <v>1206</v>
      </c>
      <c r="O148" s="75" t="s">
        <v>800</v>
      </c>
      <c r="P148" s="98" t="s">
        <v>1214</v>
      </c>
      <c r="R148" s="77" t="s">
        <v>1043</v>
      </c>
      <c r="S148" s="128" t="str">
        <f t="shared" si="14"/>
        <v>Z:\projects\onc-prj-shr1210\sub-csr\prt-336\09_txt\t_adqs_mmrm_hcc18.txt</v>
      </c>
      <c r="T148" s="128" t="str">
        <f t="shared" si="15"/>
        <v>Z:\projects\onc-prj-shr1210\sub-csr\prt-336\11_output\t14-03-004-005-003-003-adqs-mmrm-hcc18.rtf</v>
      </c>
    </row>
    <row r="149" spans="1:20" ht="14.15" customHeight="1" x14ac:dyDescent="0.3">
      <c r="A149" s="74" t="s">
        <v>264</v>
      </c>
      <c r="C149" s="76" t="s">
        <v>495</v>
      </c>
      <c r="D149" s="108" t="s">
        <v>496</v>
      </c>
      <c r="E149" s="76"/>
      <c r="F149" s="76"/>
      <c r="G149" s="77" t="str">
        <f>SUBSTITUTE(LEFT(H149,1)&amp;SUBSTITUTE(SUBSTITUTE(C149,".","-00"),"-00","-0",1)&amp;MID(H149,2,100)&amp;".rtf","_","-")</f>
        <v>f14-03-004-005-003-004-qlqhcc18-mmrm.rtf</v>
      </c>
      <c r="H149" s="77" t="s">
        <v>748</v>
      </c>
      <c r="I149" s="57" t="s">
        <v>56</v>
      </c>
      <c r="J149" s="73"/>
      <c r="K149" s="79"/>
      <c r="L149" t="s">
        <v>18</v>
      </c>
      <c r="N149" s="73" t="s">
        <v>1206</v>
      </c>
      <c r="O149" s="75" t="s">
        <v>800</v>
      </c>
      <c r="P149" s="75" t="s">
        <v>1170</v>
      </c>
      <c r="Q149" s="80" t="s">
        <v>497</v>
      </c>
      <c r="R149" s="77" t="s">
        <v>1044</v>
      </c>
      <c r="S149" s="128" t="str">
        <f t="shared" si="14"/>
        <v>Z:\projects\onc-prj-shr1210\sub-csr\prt-336\09_txt\f-qlqhcc18-mmrm.txt</v>
      </c>
      <c r="T149" s="128" t="str">
        <f t="shared" si="15"/>
        <v>Z:\projects\onc-prj-shr1210\sub-csr\prt-336\11_output\f14-03-004-005-003-004-qlqhcc18-mmrm.rtf</v>
      </c>
    </row>
    <row r="150" spans="1:20" ht="14.15" customHeight="1" x14ac:dyDescent="0.3">
      <c r="A150" s="74" t="s">
        <v>172</v>
      </c>
      <c r="C150" s="76" t="s">
        <v>498</v>
      </c>
      <c r="D150" s="108" t="s">
        <v>499</v>
      </c>
      <c r="E150" s="76"/>
      <c r="F150" s="76"/>
      <c r="G150" s="77" t="s">
        <v>500</v>
      </c>
      <c r="H150" s="77" t="s">
        <v>461</v>
      </c>
      <c r="I150" t="s">
        <v>19</v>
      </c>
      <c r="J150" s="73"/>
      <c r="K150" s="79"/>
      <c r="L150" t="s">
        <v>67</v>
      </c>
      <c r="M150" s="75" t="s">
        <v>683</v>
      </c>
      <c r="N150" s="73" t="s">
        <v>1206</v>
      </c>
      <c r="O150" s="75" t="s">
        <v>800</v>
      </c>
      <c r="R150" s="77" t="s">
        <v>1045</v>
      </c>
      <c r="S150" s="128" t="str">
        <f t="shared" si="14"/>
        <v>Z:\projects\onc-prj-shr1210\sub-csr\prt-336\09_txt\t-adrs-ecog-shift.txt</v>
      </c>
      <c r="T150" s="128" t="str">
        <f t="shared" si="15"/>
        <v>Z:\projects\onc-prj-shr1210\sub-csr\prt-336\11_output\t14-03-004-005-004-adrs-ecog-shift.rtf</v>
      </c>
    </row>
    <row r="151" spans="1:20" ht="14.15" customHeight="1" x14ac:dyDescent="0.3">
      <c r="A151" s="74" t="s">
        <v>172</v>
      </c>
      <c r="C151" s="76" t="s">
        <v>501</v>
      </c>
      <c r="D151" s="108" t="s">
        <v>502</v>
      </c>
      <c r="E151" s="125" t="s">
        <v>899</v>
      </c>
      <c r="F151" s="132" t="s">
        <v>1135</v>
      </c>
      <c r="G151" s="75" t="s">
        <v>503</v>
      </c>
      <c r="H151" s="77" t="s">
        <v>504</v>
      </c>
      <c r="I151" t="s">
        <v>43</v>
      </c>
      <c r="J151" s="73"/>
      <c r="K151" s="79"/>
      <c r="L151" s="75" t="s">
        <v>18</v>
      </c>
      <c r="M151" s="75" t="s">
        <v>505</v>
      </c>
      <c r="N151" s="73" t="s">
        <v>1200</v>
      </c>
      <c r="O151" s="75" t="s">
        <v>800</v>
      </c>
      <c r="R151" s="77" t="s">
        <v>1046</v>
      </c>
      <c r="S151" s="128" t="str">
        <f t="shared" si="14"/>
        <v>Z:\projects\onc-prj-shr1210\sub-csr\prt-336\09_txt\t_adex_sum1.txt</v>
      </c>
      <c r="T151" s="128" t="str">
        <f t="shared" si="15"/>
        <v>Z:\projects\onc-prj-shr1210\sub-csr\prt-336\11_output\t14-04-001-adex-sum1.rtf</v>
      </c>
    </row>
    <row r="152" spans="1:20" ht="14.15" customHeight="1" x14ac:dyDescent="0.3">
      <c r="A152" s="74" t="s">
        <v>172</v>
      </c>
      <c r="C152" s="76" t="s">
        <v>506</v>
      </c>
      <c r="D152" s="108" t="s">
        <v>507</v>
      </c>
      <c r="E152" s="125" t="s">
        <v>899</v>
      </c>
      <c r="F152" s="132" t="s">
        <v>1135</v>
      </c>
      <c r="G152" s="75" t="s">
        <v>508</v>
      </c>
      <c r="H152" s="77" t="s">
        <v>504</v>
      </c>
      <c r="I152" t="s">
        <v>43</v>
      </c>
      <c r="J152" s="73"/>
      <c r="K152" s="79"/>
      <c r="L152" s="75" t="s">
        <v>18</v>
      </c>
      <c r="M152" s="75" t="s">
        <v>509</v>
      </c>
      <c r="N152" s="73" t="s">
        <v>1200</v>
      </c>
      <c r="O152" s="75" t="s">
        <v>800</v>
      </c>
      <c r="R152" s="77" t="s">
        <v>1047</v>
      </c>
      <c r="S152" s="128" t="str">
        <f t="shared" si="14"/>
        <v>Z:\projects\onc-prj-shr1210\sub-csr\prt-336\09_txt\t_adex_sum2.txt</v>
      </c>
      <c r="T152" s="128" t="str">
        <f t="shared" si="15"/>
        <v>Z:\projects\onc-prj-shr1210\sub-csr\prt-336\11_output\t14-04-002-adex-sum2.rtf</v>
      </c>
    </row>
    <row r="153" spans="1:20" ht="14.15" customHeight="1" x14ac:dyDescent="0.3">
      <c r="A153" s="74" t="s">
        <v>172</v>
      </c>
      <c r="C153" s="76" t="s">
        <v>510</v>
      </c>
      <c r="D153" s="108" t="s">
        <v>511</v>
      </c>
      <c r="E153" s="125" t="s">
        <v>899</v>
      </c>
      <c r="F153" s="132" t="s">
        <v>1135</v>
      </c>
      <c r="G153" s="75" t="s">
        <v>512</v>
      </c>
      <c r="H153" s="77" t="s">
        <v>513</v>
      </c>
      <c r="I153" t="s">
        <v>43</v>
      </c>
      <c r="J153" s="73"/>
      <c r="K153" s="79"/>
      <c r="L153" s="75" t="s">
        <v>18</v>
      </c>
      <c r="M153" s="75" t="s">
        <v>514</v>
      </c>
      <c r="N153" s="73" t="s">
        <v>1200</v>
      </c>
      <c r="O153" s="75" t="s">
        <v>800</v>
      </c>
      <c r="R153" s="77" t="s">
        <v>1048</v>
      </c>
      <c r="S153" s="128" t="str">
        <f t="shared" si="14"/>
        <v>Z:\projects\onc-prj-shr1210\sub-csr\prt-336\09_txt\t_tace_sum.txt</v>
      </c>
      <c r="T153" s="128" t="str">
        <f t="shared" si="15"/>
        <v>Z:\projects\onc-prj-shr1210\sub-csr\prt-336\11_output\t14-04-003-tace-sum.rtf</v>
      </c>
    </row>
    <row r="154" spans="1:20" ht="14.15" customHeight="1" x14ac:dyDescent="0.3">
      <c r="A154" s="74" t="s">
        <v>172</v>
      </c>
      <c r="C154" s="76" t="s">
        <v>515</v>
      </c>
      <c r="D154" s="170" t="s">
        <v>1314</v>
      </c>
      <c r="E154" s="76"/>
      <c r="F154" s="76"/>
      <c r="G154" s="75" t="s">
        <v>516</v>
      </c>
      <c r="H154" s="77" t="s">
        <v>517</v>
      </c>
      <c r="I154" t="s">
        <v>43</v>
      </c>
      <c r="J154" s="73"/>
      <c r="K154" s="79"/>
      <c r="L154" s="75" t="s">
        <v>18</v>
      </c>
      <c r="M154" s="75" t="s">
        <v>1181</v>
      </c>
      <c r="N154" s="73" t="s">
        <v>1171</v>
      </c>
      <c r="O154" s="75" t="s">
        <v>800</v>
      </c>
      <c r="R154" s="77" t="s">
        <v>1049</v>
      </c>
      <c r="S154" s="128" t="str">
        <f t="shared" si="14"/>
        <v>Z:\projects\onc-prj-shr1210\sub-csr\prt-336\09_txt\t_adpc_sum_1210.txt</v>
      </c>
      <c r="T154" s="128" t="str">
        <f t="shared" si="15"/>
        <v>Z:\projects\onc-prj-shr1210\sub-csr\prt-336\11_output\t14-04-002-001-001-adpc-sum-1210.rtf</v>
      </c>
    </row>
    <row r="155" spans="1:20" ht="14.15" customHeight="1" x14ac:dyDescent="0.3">
      <c r="A155" s="74" t="s">
        <v>172</v>
      </c>
      <c r="C155" s="76" t="s">
        <v>518</v>
      </c>
      <c r="D155" s="170" t="s">
        <v>1311</v>
      </c>
      <c r="E155" s="76"/>
      <c r="F155" s="76"/>
      <c r="G155" s="75" t="s">
        <v>519</v>
      </c>
      <c r="H155" s="77" t="s">
        <v>517</v>
      </c>
      <c r="I155" t="s">
        <v>43</v>
      </c>
      <c r="J155" s="73"/>
      <c r="K155" s="79"/>
      <c r="L155" s="75" t="s">
        <v>18</v>
      </c>
      <c r="M155" s="75" t="s">
        <v>1181</v>
      </c>
      <c r="N155" s="73" t="s">
        <v>1171</v>
      </c>
      <c r="O155" s="75" t="s">
        <v>800</v>
      </c>
      <c r="R155" s="77" t="s">
        <v>1050</v>
      </c>
      <c r="S155" s="128" t="str">
        <f t="shared" si="14"/>
        <v>Z:\projects\onc-prj-shr1210\sub-csr\prt-336\09_txt\t_adpc_sum_aptn.txt</v>
      </c>
      <c r="T155" s="128" t="str">
        <f t="shared" si="15"/>
        <v>Z:\projects\onc-prj-shr1210\sub-csr\prt-336\11_output\t14-04-002-001-002-adpc-sum-aptn.rtf</v>
      </c>
    </row>
    <row r="156" spans="1:20" ht="14.15" customHeight="1" x14ac:dyDescent="0.3">
      <c r="A156" s="74" t="s">
        <v>172</v>
      </c>
      <c r="C156" s="81" t="s">
        <v>520</v>
      </c>
      <c r="D156" s="161" t="s">
        <v>521</v>
      </c>
      <c r="E156" s="76"/>
      <c r="F156" s="76"/>
      <c r="G156" s="75" t="s">
        <v>522</v>
      </c>
      <c r="H156" s="77" t="s">
        <v>523</v>
      </c>
      <c r="I156" t="s">
        <v>43</v>
      </c>
      <c r="J156" s="73"/>
      <c r="K156" s="79"/>
      <c r="L156" s="75" t="s">
        <v>18</v>
      </c>
      <c r="M156" s="75" t="s">
        <v>1182</v>
      </c>
      <c r="N156" s="73" t="s">
        <v>1211</v>
      </c>
      <c r="O156" s="75" t="s">
        <v>1212</v>
      </c>
      <c r="R156" s="77" t="s">
        <v>1051</v>
      </c>
      <c r="S156" s="128" t="str">
        <f t="shared" si="14"/>
        <v>Z:\projects\onc-prj-shr1210\sub-csr\prt-336\09_txt\t_adis_sum_ada.txt</v>
      </c>
      <c r="T156" s="128" t="str">
        <f t="shared" si="15"/>
        <v>Z:\projects\onc-prj-shr1210\sub-csr\prt-336\11_output\t14-04-003-001-001-adis-sum-ada.rtf</v>
      </c>
    </row>
    <row r="157" spans="1:20" ht="14.15" customHeight="1" x14ac:dyDescent="0.3">
      <c r="A157" s="74" t="s">
        <v>172</v>
      </c>
      <c r="C157" s="81" t="s">
        <v>524</v>
      </c>
      <c r="D157" s="168" t="s">
        <v>1308</v>
      </c>
      <c r="E157" s="89"/>
      <c r="F157" s="89"/>
      <c r="G157" s="75" t="s">
        <v>525</v>
      </c>
      <c r="H157" s="77" t="s">
        <v>659</v>
      </c>
      <c r="I157" t="s">
        <v>43</v>
      </c>
      <c r="J157" s="73"/>
      <c r="K157" s="79"/>
      <c r="L157" s="75" t="s">
        <v>18</v>
      </c>
      <c r="M157" s="75" t="s">
        <v>1183</v>
      </c>
      <c r="N157" s="73" t="s">
        <v>1171</v>
      </c>
      <c r="O157" s="75" t="s">
        <v>1212</v>
      </c>
      <c r="R157" s="77" t="s">
        <v>1052</v>
      </c>
      <c r="S157" s="128" t="str">
        <f t="shared" si="14"/>
        <v>Z:\projects\onc-prj-shr1210\sub-csr\prt-336\09_txt\t_adpc_sum_ada.txt</v>
      </c>
      <c r="T157" s="128" t="str">
        <f t="shared" si="15"/>
        <v>Z:\projects\onc-prj-shr1210\sub-csr\prt-336\11_output\t14-04-003-001-002-adpc-sum-ada.rtf</v>
      </c>
    </row>
    <row r="158" spans="1:20" ht="14.15" customHeight="1" x14ac:dyDescent="0.3">
      <c r="A158" s="74" t="s">
        <v>264</v>
      </c>
      <c r="C158" s="81" t="s">
        <v>526</v>
      </c>
      <c r="D158" s="168" t="s">
        <v>1309</v>
      </c>
      <c r="E158" s="102"/>
      <c r="F158" s="102"/>
      <c r="G158" s="77" t="str">
        <f>SUBSTITUTE(LEFT(H158,1)&amp;SUBSTITUTE(SUBSTITUTE(C158,".","-00"),"-00","-0",1)&amp;MID(H158,2,100)&amp;".rtf","_","-")</f>
        <v>f14-04-003-001-003-adpc.rtf</v>
      </c>
      <c r="H158" s="77" t="s">
        <v>776</v>
      </c>
      <c r="I158" s="57" t="s">
        <v>56</v>
      </c>
      <c r="J158" s="73"/>
      <c r="K158" s="79"/>
      <c r="L158" s="75" t="s">
        <v>18</v>
      </c>
      <c r="N158" s="73" t="s">
        <v>1206</v>
      </c>
      <c r="O158" s="75" t="s">
        <v>800</v>
      </c>
      <c r="P158" s="75" t="s">
        <v>1170</v>
      </c>
      <c r="Q158" s="103" t="s">
        <v>777</v>
      </c>
      <c r="R158" s="77" t="s">
        <v>1053</v>
      </c>
      <c r="S158" s="128" t="str">
        <f t="shared" si="14"/>
        <v>Z:\projects\onc-prj-shr1210\sub-csr\prt-336\09_txt\f-adpc.txt</v>
      </c>
      <c r="T158" s="128" t="str">
        <f t="shared" si="15"/>
        <v>Z:\projects\onc-prj-shr1210\sub-csr\prt-336\11_output\f14-04-003-001-003-adpc.rtf</v>
      </c>
    </row>
    <row r="159" spans="1:20" ht="14" customHeight="1" x14ac:dyDescent="0.3">
      <c r="A159" s="74" t="s">
        <v>172</v>
      </c>
      <c r="C159" s="76" t="s">
        <v>527</v>
      </c>
      <c r="D159" s="161" t="s">
        <v>528</v>
      </c>
      <c r="E159" s="76"/>
      <c r="F159" s="76"/>
      <c r="G159" s="75" t="s">
        <v>529</v>
      </c>
      <c r="H159" s="75" t="s">
        <v>523</v>
      </c>
      <c r="I159" t="s">
        <v>43</v>
      </c>
      <c r="J159" s="73"/>
      <c r="K159" s="79"/>
      <c r="L159" s="75" t="s">
        <v>18</v>
      </c>
      <c r="M159" s="75" t="s">
        <v>530</v>
      </c>
      <c r="N159" s="73" t="s">
        <v>1211</v>
      </c>
      <c r="O159" s="75" t="s">
        <v>1212</v>
      </c>
      <c r="R159" s="77" t="s">
        <v>1054</v>
      </c>
      <c r="S159" s="128" t="str">
        <f t="shared" si="14"/>
        <v>Z:\projects\onc-prj-shr1210\sub-csr\prt-336\09_txt\t_adis_sum_nab.txt</v>
      </c>
      <c r="T159" s="128" t="str">
        <f t="shared" si="15"/>
        <v>Z:\projects\onc-prj-shr1210\sub-csr\prt-336\11_output\t14-04-003-002-adis-sum-nab.rtf</v>
      </c>
    </row>
    <row r="160" spans="1:20" ht="14.15" customHeight="1" x14ac:dyDescent="0.3">
      <c r="A160" s="75" t="s">
        <v>531</v>
      </c>
      <c r="C160" s="76" t="s">
        <v>532</v>
      </c>
      <c r="D160" s="108" t="s">
        <v>533</v>
      </c>
      <c r="E160" s="76"/>
      <c r="F160" s="76"/>
      <c r="G160" s="75" t="s">
        <v>534</v>
      </c>
      <c r="I160" s="75" t="s">
        <v>63</v>
      </c>
      <c r="J160" s="72"/>
      <c r="K160" s="79"/>
      <c r="L160" s="75" t="s">
        <v>18</v>
      </c>
      <c r="M160" s="75" t="s">
        <v>1227</v>
      </c>
      <c r="N160" s="75" t="s">
        <v>1233</v>
      </c>
      <c r="O160" s="75" t="s">
        <v>1234</v>
      </c>
      <c r="R160" s="77" t="s">
        <v>1055</v>
      </c>
      <c r="S160" s="128" t="str">
        <f t="shared" si="14"/>
        <v>Z:\projects\onc-prj-shr1210\sub-csr\prt-336\09_txt\l_adsl_ex.txt</v>
      </c>
      <c r="T160" s="128" t="str">
        <f t="shared" si="15"/>
        <v>Z:\projects\onc-prj-shr1210\sub-csr\prt-336\11_output\l16-01-007-002-adsl-ex.rtf</v>
      </c>
    </row>
    <row r="161" spans="1:20" ht="14.15" customHeight="1" x14ac:dyDescent="0.3">
      <c r="A161" s="75" t="s">
        <v>531</v>
      </c>
      <c r="C161" s="76" t="s">
        <v>535</v>
      </c>
      <c r="D161" s="137" t="s">
        <v>536</v>
      </c>
      <c r="E161" s="76"/>
      <c r="F161" s="76"/>
      <c r="G161" s="75" t="s">
        <v>537</v>
      </c>
      <c r="I161" s="75" t="s">
        <v>63</v>
      </c>
      <c r="J161" s="72"/>
      <c r="K161" s="79"/>
      <c r="L161" s="75" t="s">
        <v>18</v>
      </c>
      <c r="M161" s="75" t="s">
        <v>1227</v>
      </c>
      <c r="N161" s="75" t="s">
        <v>1228</v>
      </c>
      <c r="O161" s="75" t="s">
        <v>800</v>
      </c>
      <c r="R161" s="77" t="s">
        <v>1056</v>
      </c>
      <c r="S161" s="128" t="str">
        <f t="shared" si="14"/>
        <v>Z:\projects\onc-prj-shr1210\sub-csr\prt-336\09_txt\l_adsl.txt</v>
      </c>
      <c r="T161" s="128" t="str">
        <f t="shared" si="15"/>
        <v>Z:\projects\onc-prj-shr1210\sub-csr\prt-336\11_output\l16-02-001-001-adsl.rtf</v>
      </c>
    </row>
    <row r="162" spans="1:20" x14ac:dyDescent="0.3">
      <c r="A162" s="75" t="s">
        <v>531</v>
      </c>
      <c r="C162" s="76" t="s">
        <v>538</v>
      </c>
      <c r="D162" s="142" t="s">
        <v>665</v>
      </c>
      <c r="E162" s="96"/>
      <c r="F162" s="96"/>
      <c r="G162" s="75" t="s">
        <v>539</v>
      </c>
      <c r="I162" s="75" t="s">
        <v>63</v>
      </c>
      <c r="J162" s="72"/>
      <c r="K162" s="79"/>
      <c r="L162" s="75" t="s">
        <v>18</v>
      </c>
      <c r="M162" s="75" t="s">
        <v>1227</v>
      </c>
      <c r="N162" s="75" t="s">
        <v>1228</v>
      </c>
      <c r="O162" s="75" t="s">
        <v>800</v>
      </c>
      <c r="R162" s="77" t="s">
        <v>1057</v>
      </c>
      <c r="S162" s="128" t="str">
        <f t="shared" si="14"/>
        <v>Z:\projects\onc-prj-shr1210\sub-csr\prt-336\09_txt\l_eos.txt</v>
      </c>
      <c r="T162" s="128" t="str">
        <f t="shared" si="15"/>
        <v>Z:\projects\onc-prj-shr1210\sub-csr\prt-336\11_output\l16-02-001-002-eos.rtf</v>
      </c>
    </row>
    <row r="163" spans="1:20" x14ac:dyDescent="0.3">
      <c r="A163" s="75" t="s">
        <v>531</v>
      </c>
      <c r="C163" s="76" t="s">
        <v>540</v>
      </c>
      <c r="D163" s="142" t="s">
        <v>666</v>
      </c>
      <c r="E163" s="96"/>
      <c r="F163" s="96"/>
      <c r="G163" s="75" t="s">
        <v>541</v>
      </c>
      <c r="I163" s="75" t="s">
        <v>63</v>
      </c>
      <c r="J163" s="72"/>
      <c r="K163" s="79"/>
      <c r="L163" s="75" t="s">
        <v>18</v>
      </c>
      <c r="M163" s="75" t="s">
        <v>1227</v>
      </c>
      <c r="N163" s="75" t="s">
        <v>1228</v>
      </c>
      <c r="O163" s="75" t="s">
        <v>800</v>
      </c>
      <c r="R163" s="77" t="s">
        <v>1058</v>
      </c>
      <c r="S163" s="128" t="str">
        <f t="shared" si="14"/>
        <v>Z:\projects\onc-prj-shr1210\sub-csr\prt-336\09_txt\l_eot.txt</v>
      </c>
      <c r="T163" s="128" t="str">
        <f t="shared" si="15"/>
        <v>Z:\projects\onc-prj-shr1210\sub-csr\prt-336\11_output\l16-02-001-003-eot.rtf</v>
      </c>
    </row>
    <row r="164" spans="1:20" s="111" customFormat="1" ht="14.15" customHeight="1" x14ac:dyDescent="0.3">
      <c r="A164" s="111" t="s">
        <v>531</v>
      </c>
      <c r="C164" s="108" t="s">
        <v>542</v>
      </c>
      <c r="D164" s="108" t="s">
        <v>543</v>
      </c>
      <c r="E164" s="108"/>
      <c r="F164" s="108"/>
      <c r="G164" s="111" t="s">
        <v>1129</v>
      </c>
      <c r="I164" s="75" t="s">
        <v>63</v>
      </c>
      <c r="L164" s="75" t="s">
        <v>18</v>
      </c>
      <c r="M164" s="75" t="s">
        <v>1227</v>
      </c>
      <c r="N164" s="75" t="s">
        <v>1228</v>
      </c>
      <c r="O164" s="75" t="s">
        <v>800</v>
      </c>
      <c r="R164" s="77" t="s">
        <v>1059</v>
      </c>
      <c r="S164" s="128" t="str">
        <f t="shared" si="14"/>
        <v>Z:\projects\onc-prj-shr1210\sub-csr\prt-336\09_txt\l-addv.txt</v>
      </c>
      <c r="T164" s="128" t="str">
        <f t="shared" si="15"/>
        <v>Z:\projects\onc-prj-shr1210\sub-csr\prt-336\11_output\l16-02-002-addv.rtf</v>
      </c>
    </row>
    <row r="165" spans="1:20" s="111" customFormat="1" ht="14.15" customHeight="1" x14ac:dyDescent="0.3">
      <c r="C165" s="108" t="s">
        <v>1280</v>
      </c>
      <c r="D165" s="162" t="s">
        <v>1281</v>
      </c>
      <c r="E165" s="108"/>
      <c r="F165" s="108"/>
      <c r="I165" s="75" t="s">
        <v>63</v>
      </c>
      <c r="L165" s="75" t="s">
        <v>18</v>
      </c>
      <c r="M165" s="75"/>
      <c r="N165" s="75"/>
      <c r="O165" s="75" t="s">
        <v>1291</v>
      </c>
      <c r="P165" s="111" t="s">
        <v>1170</v>
      </c>
      <c r="R165" s="77"/>
      <c r="S165" s="128"/>
      <c r="T165" s="128"/>
    </row>
    <row r="166" spans="1:20" ht="14.15" customHeight="1" x14ac:dyDescent="0.3">
      <c r="A166" s="75" t="s">
        <v>531</v>
      </c>
      <c r="C166" s="76" t="s">
        <v>544</v>
      </c>
      <c r="D166" s="108" t="s">
        <v>545</v>
      </c>
      <c r="E166" s="76"/>
      <c r="F166" s="76"/>
      <c r="G166" s="75" t="s">
        <v>546</v>
      </c>
      <c r="H166" s="77" t="s">
        <v>359</v>
      </c>
      <c r="I166" s="75" t="s">
        <v>63</v>
      </c>
      <c r="L166" s="75" t="s">
        <v>18</v>
      </c>
      <c r="M166" s="75" t="s">
        <v>1227</v>
      </c>
      <c r="N166" s="75" t="s">
        <v>1228</v>
      </c>
      <c r="O166" s="75" t="s">
        <v>800</v>
      </c>
      <c r="R166" s="77" t="s">
        <v>1060</v>
      </c>
      <c r="S166" s="128" t="str">
        <f t="shared" si="14"/>
        <v>Z:\projects\onc-prj-shr1210\sub-csr\prt-336\09_txt\l_adsl_dm.txt</v>
      </c>
      <c r="T166" s="128" t="str">
        <f t="shared" si="15"/>
        <v>Z:\projects\onc-prj-shr1210\sub-csr\prt-336\11_output\l16-02-004-001-adsl-dm.rtf</v>
      </c>
    </row>
    <row r="167" spans="1:20" ht="14.15" customHeight="1" x14ac:dyDescent="0.3">
      <c r="A167" s="75" t="s">
        <v>531</v>
      </c>
      <c r="C167" s="76" t="s">
        <v>547</v>
      </c>
      <c r="D167" s="108" t="s">
        <v>548</v>
      </c>
      <c r="E167" s="76"/>
      <c r="F167" s="76"/>
      <c r="G167" s="75" t="s">
        <v>549</v>
      </c>
      <c r="H167" t="s">
        <v>359</v>
      </c>
      <c r="I167" s="75" t="s">
        <v>63</v>
      </c>
      <c r="L167" s="75" t="s">
        <v>18</v>
      </c>
      <c r="M167" s="75" t="s">
        <v>1232</v>
      </c>
      <c r="N167" s="75" t="s">
        <v>1228</v>
      </c>
      <c r="O167" s="75" t="s">
        <v>800</v>
      </c>
      <c r="R167" s="77" t="s">
        <v>1061</v>
      </c>
      <c r="S167" s="128" t="str">
        <f t="shared" si="14"/>
        <v>Z:\projects\onc-prj-shr1210\sub-csr\prt-336\09_txt\l_admh_tudiag.txt</v>
      </c>
      <c r="T167" s="128" t="str">
        <f t="shared" si="15"/>
        <v>Z:\projects\onc-prj-shr1210\sub-csr\prt-336\11_output\l16-02-004-002-admh-tudiag.rtf</v>
      </c>
    </row>
    <row r="168" spans="1:20" ht="14.15" customHeight="1" x14ac:dyDescent="0.3">
      <c r="A168" s="75" t="s">
        <v>531</v>
      </c>
      <c r="C168" s="76" t="s">
        <v>550</v>
      </c>
      <c r="D168" s="108" t="s">
        <v>551</v>
      </c>
      <c r="E168" s="76"/>
      <c r="F168" s="76"/>
      <c r="G168" s="75" t="s">
        <v>552</v>
      </c>
      <c r="H168" t="s">
        <v>359</v>
      </c>
      <c r="I168" s="75" t="s">
        <v>63</v>
      </c>
      <c r="L168" s="75" t="s">
        <v>18</v>
      </c>
      <c r="M168" s="75" t="s">
        <v>1232</v>
      </c>
      <c r="N168" s="75" t="s">
        <v>1228</v>
      </c>
      <c r="O168" s="75" t="s">
        <v>800</v>
      </c>
      <c r="R168" s="77" t="s">
        <v>1062</v>
      </c>
      <c r="S168" s="128" t="str">
        <f t="shared" si="14"/>
        <v>Z:\projects\onc-prj-shr1210\sub-csr\prt-336\09_txt\l_admh_medhis.txt</v>
      </c>
      <c r="T168" s="128" t="str">
        <f t="shared" si="15"/>
        <v>Z:\projects\onc-prj-shr1210\sub-csr\prt-336\11_output\l16-02-004-003-admh-medhis.rtf</v>
      </c>
    </row>
    <row r="169" spans="1:20" ht="14.15" customHeight="1" x14ac:dyDescent="0.3">
      <c r="A169" s="75" t="s">
        <v>531</v>
      </c>
      <c r="C169" s="76" t="s">
        <v>553</v>
      </c>
      <c r="D169" s="108" t="s">
        <v>554</v>
      </c>
      <c r="E169" s="76"/>
      <c r="F169" s="76"/>
      <c r="G169" s="75" t="s">
        <v>555</v>
      </c>
      <c r="H169" t="s">
        <v>359</v>
      </c>
      <c r="I169" s="75" t="s">
        <v>63</v>
      </c>
      <c r="L169" s="75" t="s">
        <v>18</v>
      </c>
      <c r="M169" s="75" t="s">
        <v>1232</v>
      </c>
      <c r="N169" s="75" t="s">
        <v>1233</v>
      </c>
      <c r="O169" s="75" t="s">
        <v>1245</v>
      </c>
      <c r="R169" s="77" t="s">
        <v>1063</v>
      </c>
      <c r="S169" s="128" t="str">
        <f t="shared" si="14"/>
        <v>Z:\projects\onc-prj-shr1210\sub-csr\prt-336\09_txt\l_adcm1.txt</v>
      </c>
      <c r="T169" s="128" t="str">
        <f t="shared" si="15"/>
        <v>Z:\projects\onc-prj-shr1210\sub-csr\prt-336\11_output\l16-02-004-004-001-001-adcm1.rtf</v>
      </c>
    </row>
    <row r="170" spans="1:20" ht="14.15" customHeight="1" x14ac:dyDescent="0.3">
      <c r="A170" s="75" t="s">
        <v>531</v>
      </c>
      <c r="C170" s="76" t="s">
        <v>556</v>
      </c>
      <c r="D170" s="108" t="s">
        <v>557</v>
      </c>
      <c r="E170" s="76"/>
      <c r="F170" s="76"/>
      <c r="G170" s="75" t="s">
        <v>558</v>
      </c>
      <c r="H170" t="s">
        <v>359</v>
      </c>
      <c r="I170" s="75" t="s">
        <v>63</v>
      </c>
      <c r="L170" s="75" t="s">
        <v>18</v>
      </c>
      <c r="M170" s="75" t="s">
        <v>1232</v>
      </c>
      <c r="N170" s="75" t="s">
        <v>1244</v>
      </c>
      <c r="O170" s="75" t="s">
        <v>1245</v>
      </c>
      <c r="R170" s="77" t="s">
        <v>1064</v>
      </c>
      <c r="S170" s="128" t="str">
        <f t="shared" ref="S170:S202" si="16">HYPERLINK(_xlfn.CONCAT("Z:\projects\onc-prj-shr1210\sub-csr\prt-336\09_txt\",R170))</f>
        <v>Z:\projects\onc-prj-shr1210\sub-csr\prt-336\09_txt\l_adcm2.txt</v>
      </c>
      <c r="T170" s="128" t="str">
        <f t="shared" ref="T170:T211" si="17">HYPERLINK(_xlfn.CONCAT("Z:\projects\onc-prj-shr1210\sub-csr\prt-336\11_output\",G170))</f>
        <v>Z:\projects\onc-prj-shr1210\sub-csr\prt-336\11_output\l16-02-004-004-001-002-adcm2.rtf</v>
      </c>
    </row>
    <row r="171" spans="1:20" ht="14.15" customHeight="1" x14ac:dyDescent="0.3">
      <c r="A171" s="75" t="s">
        <v>531</v>
      </c>
      <c r="C171" s="76" t="s">
        <v>559</v>
      </c>
      <c r="D171" s="108" t="s">
        <v>798</v>
      </c>
      <c r="E171" s="76"/>
      <c r="F171" s="76"/>
      <c r="G171" s="75" t="s">
        <v>560</v>
      </c>
      <c r="H171" t="s">
        <v>359</v>
      </c>
      <c r="I171" s="75" t="s">
        <v>63</v>
      </c>
      <c r="L171" s="75" t="s">
        <v>18</v>
      </c>
      <c r="M171" s="75" t="s">
        <v>1232</v>
      </c>
      <c r="N171" s="75" t="s">
        <v>1233</v>
      </c>
      <c r="O171" s="75" t="s">
        <v>1234</v>
      </c>
      <c r="R171" s="77" t="s">
        <v>1065</v>
      </c>
      <c r="S171" s="128" t="str">
        <f t="shared" si="16"/>
        <v>Z:\projects\onc-prj-shr1210\sub-csr\prt-336\09_txt\l_adpr1.txt</v>
      </c>
      <c r="T171" s="128" t="str">
        <f t="shared" si="17"/>
        <v>Z:\projects\onc-prj-shr1210\sub-csr\prt-336\11_output\l16-02-004-004-001-003-adpr1.rtf</v>
      </c>
    </row>
    <row r="172" spans="1:20" ht="14.15" customHeight="1" x14ac:dyDescent="0.3">
      <c r="A172" s="75" t="s">
        <v>531</v>
      </c>
      <c r="C172" s="76" t="s">
        <v>561</v>
      </c>
      <c r="D172" s="108" t="s">
        <v>799</v>
      </c>
      <c r="E172" s="76"/>
      <c r="F172" s="76"/>
      <c r="G172" s="75" t="s">
        <v>562</v>
      </c>
      <c r="H172" t="s">
        <v>359</v>
      </c>
      <c r="I172" s="75" t="s">
        <v>63</v>
      </c>
      <c r="L172" s="75" t="s">
        <v>18</v>
      </c>
      <c r="M172" s="75" t="s">
        <v>1232</v>
      </c>
      <c r="N172" s="75" t="s">
        <v>1244</v>
      </c>
      <c r="O172" s="75" t="s">
        <v>1245</v>
      </c>
      <c r="R172" s="77" t="s">
        <v>1066</v>
      </c>
      <c r="S172" s="128" t="str">
        <f t="shared" si="16"/>
        <v>Z:\projects\onc-prj-shr1210\sub-csr\prt-336\09_txt\l_adpr2.txt</v>
      </c>
      <c r="T172" s="128" t="str">
        <f t="shared" si="17"/>
        <v>Z:\projects\onc-prj-shr1210\sub-csr\prt-336\11_output\l16-02-004-004-001-004-adpr2.rtf</v>
      </c>
    </row>
    <row r="173" spans="1:20" ht="14.15" customHeight="1" x14ac:dyDescent="0.3">
      <c r="A173" s="75" t="s">
        <v>531</v>
      </c>
      <c r="C173" s="76" t="s">
        <v>563</v>
      </c>
      <c r="D173" s="108" t="s">
        <v>564</v>
      </c>
      <c r="E173" s="76"/>
      <c r="F173" s="76"/>
      <c r="G173" s="75" t="s">
        <v>565</v>
      </c>
      <c r="H173" t="s">
        <v>359</v>
      </c>
      <c r="I173" s="75" t="s">
        <v>63</v>
      </c>
      <c r="L173" s="75" t="s">
        <v>18</v>
      </c>
      <c r="M173" s="75" t="s">
        <v>1232</v>
      </c>
      <c r="N173" s="75" t="s">
        <v>1233</v>
      </c>
      <c r="O173" s="75" t="s">
        <v>800</v>
      </c>
      <c r="P173" s="101" t="s">
        <v>1235</v>
      </c>
      <c r="R173" s="77" t="s">
        <v>1067</v>
      </c>
      <c r="S173" s="128" t="str">
        <f t="shared" si="16"/>
        <v>Z:\projects\onc-prj-shr1210\sub-csr\prt-336\09_txt\l_adpr3.txt</v>
      </c>
      <c r="T173" s="128" t="str">
        <f t="shared" si="17"/>
        <v>Z:\projects\onc-prj-shr1210\sub-csr\prt-336\11_output\l16-02-004-004-002-001-adpr3.rtf</v>
      </c>
    </row>
    <row r="174" spans="1:20" ht="14.15" customHeight="1" x14ac:dyDescent="0.3">
      <c r="A174" s="75" t="s">
        <v>531</v>
      </c>
      <c r="C174" s="76" t="s">
        <v>566</v>
      </c>
      <c r="D174" s="108" t="s">
        <v>567</v>
      </c>
      <c r="E174" s="76"/>
      <c r="F174" s="76"/>
      <c r="G174" s="75" t="s">
        <v>568</v>
      </c>
      <c r="H174" t="s">
        <v>359</v>
      </c>
      <c r="I174" s="75" t="s">
        <v>63</v>
      </c>
      <c r="L174" s="75" t="s">
        <v>876</v>
      </c>
      <c r="M174" s="75" t="s">
        <v>1190</v>
      </c>
      <c r="N174" s="73" t="s">
        <v>1206</v>
      </c>
      <c r="O174" s="75" t="s">
        <v>800</v>
      </c>
      <c r="R174" s="77" t="s">
        <v>1068</v>
      </c>
      <c r="S174" s="128" t="str">
        <f t="shared" si="16"/>
        <v>Z:\projects\onc-prj-shr1210\sub-csr\prt-336\09_txt\l_adpr4.txt</v>
      </c>
      <c r="T174" s="128" t="str">
        <f t="shared" si="17"/>
        <v>Z:\projects\onc-prj-shr1210\sub-csr\prt-336\11_output\l16-02-004-004-002-002-adpr4.rtf</v>
      </c>
    </row>
    <row r="175" spans="1:20" ht="14.15" customHeight="1" x14ac:dyDescent="0.3">
      <c r="A175" s="75" t="s">
        <v>531</v>
      </c>
      <c r="C175" s="76" t="s">
        <v>569</v>
      </c>
      <c r="D175" s="108" t="s">
        <v>570</v>
      </c>
      <c r="E175" s="76"/>
      <c r="F175" s="76"/>
      <c r="G175" s="75" t="s">
        <v>571</v>
      </c>
      <c r="H175" t="s">
        <v>359</v>
      </c>
      <c r="I175" s="75" t="s">
        <v>63</v>
      </c>
      <c r="L175" s="75" t="s">
        <v>876</v>
      </c>
      <c r="M175" s="75" t="s">
        <v>1191</v>
      </c>
      <c r="N175" s="73" t="s">
        <v>1206</v>
      </c>
      <c r="O175" s="75" t="s">
        <v>800</v>
      </c>
      <c r="R175" s="77" t="s">
        <v>1069</v>
      </c>
      <c r="S175" s="128" t="str">
        <f t="shared" si="16"/>
        <v>Z:\projects\onc-prj-shr1210\sub-csr\prt-336\09_txt\l_adpr5.txt</v>
      </c>
      <c r="T175" s="128" t="str">
        <f t="shared" si="17"/>
        <v>Z:\projects\onc-prj-shr1210\sub-csr\prt-336\11_output\l16-02-004-004-002-003-adpr5.rtf</v>
      </c>
    </row>
    <row r="176" spans="1:20" x14ac:dyDescent="0.3">
      <c r="A176" s="75" t="s">
        <v>531</v>
      </c>
      <c r="C176" s="76" t="s">
        <v>572</v>
      </c>
      <c r="D176" s="108" t="s">
        <v>573</v>
      </c>
      <c r="E176" s="76"/>
      <c r="F176" s="76"/>
      <c r="G176" s="75" t="s">
        <v>574</v>
      </c>
      <c r="H176" t="s">
        <v>359</v>
      </c>
      <c r="I176" s="75" t="s">
        <v>63</v>
      </c>
      <c r="L176" s="75" t="s">
        <v>876</v>
      </c>
      <c r="M176" s="75" t="s">
        <v>1192</v>
      </c>
      <c r="N176" s="73" t="s">
        <v>1206</v>
      </c>
      <c r="O176" s="75" t="s">
        <v>800</v>
      </c>
      <c r="R176" s="77" t="s">
        <v>1070</v>
      </c>
      <c r="S176" s="128" t="str">
        <f t="shared" si="16"/>
        <v>Z:\projects\onc-prj-shr1210\sub-csr\prt-336\09_txt\l_adpr6.txt</v>
      </c>
      <c r="T176" s="128" t="str">
        <f t="shared" si="17"/>
        <v>Z:\projects\onc-prj-shr1210\sub-csr\prt-336\11_output\l16-02-004-004-002-004-adpr6.rtf</v>
      </c>
    </row>
    <row r="177" spans="1:20" x14ac:dyDescent="0.3">
      <c r="A177" s="75" t="s">
        <v>531</v>
      </c>
      <c r="C177" s="76" t="s">
        <v>575</v>
      </c>
      <c r="D177" s="108" t="s">
        <v>576</v>
      </c>
      <c r="E177" s="76"/>
      <c r="F177" s="76"/>
      <c r="G177" s="75" t="s">
        <v>577</v>
      </c>
      <c r="H177" t="s">
        <v>359</v>
      </c>
      <c r="I177" s="75" t="s">
        <v>63</v>
      </c>
      <c r="L177" s="75" t="s">
        <v>876</v>
      </c>
      <c r="M177" s="75" t="s">
        <v>1190</v>
      </c>
      <c r="N177" s="73" t="s">
        <v>1206</v>
      </c>
      <c r="O177" s="75" t="s">
        <v>800</v>
      </c>
      <c r="R177" s="77" t="s">
        <v>1071</v>
      </c>
      <c r="S177" s="128" t="str">
        <f t="shared" si="16"/>
        <v>Z:\projects\onc-prj-shr1210\sub-csr\prt-336\09_txt\l_adpr7.txt</v>
      </c>
      <c r="T177" s="128" t="str">
        <f t="shared" si="17"/>
        <v>Z:\projects\onc-prj-shr1210\sub-csr\prt-336\11_output\l16-02-004-004-002-005-adpr7.rtf</v>
      </c>
    </row>
    <row r="178" spans="1:20" x14ac:dyDescent="0.3">
      <c r="A178" s="75" t="s">
        <v>531</v>
      </c>
      <c r="C178" s="76" t="s">
        <v>578</v>
      </c>
      <c r="D178" s="108" t="s">
        <v>579</v>
      </c>
      <c r="E178" s="76"/>
      <c r="F178" s="76"/>
      <c r="G178" s="75" t="s">
        <v>580</v>
      </c>
      <c r="H178" t="s">
        <v>359</v>
      </c>
      <c r="I178" s="75" t="s">
        <v>63</v>
      </c>
      <c r="L178" s="75" t="s">
        <v>876</v>
      </c>
      <c r="M178" s="75" t="s">
        <v>1191</v>
      </c>
      <c r="N178" s="73" t="s">
        <v>1206</v>
      </c>
      <c r="O178" s="75" t="s">
        <v>800</v>
      </c>
      <c r="R178" s="77" t="s">
        <v>1072</v>
      </c>
      <c r="S178" s="128" t="str">
        <f t="shared" si="16"/>
        <v>Z:\projects\onc-prj-shr1210\sub-csr\prt-336\09_txt\l_adpr8.txt</v>
      </c>
      <c r="T178" s="128" t="str">
        <f t="shared" si="17"/>
        <v>Z:\projects\onc-prj-shr1210\sub-csr\prt-336\11_output\l16-02-004-004-002-006-adpr8.rtf</v>
      </c>
    </row>
    <row r="179" spans="1:20" x14ac:dyDescent="0.3">
      <c r="A179" s="75" t="s">
        <v>531</v>
      </c>
      <c r="C179" s="76" t="s">
        <v>581</v>
      </c>
      <c r="D179" s="108" t="s">
        <v>582</v>
      </c>
      <c r="E179" s="76"/>
      <c r="F179" s="76"/>
      <c r="G179" s="75" t="s">
        <v>583</v>
      </c>
      <c r="H179" t="s">
        <v>359</v>
      </c>
      <c r="I179" s="75" t="s">
        <v>63</v>
      </c>
      <c r="L179" s="75" t="s">
        <v>876</v>
      </c>
      <c r="M179" s="75" t="s">
        <v>1193</v>
      </c>
      <c r="N179" s="73" t="s">
        <v>1206</v>
      </c>
      <c r="O179" s="75" t="s">
        <v>800</v>
      </c>
      <c r="R179" s="77" t="s">
        <v>1073</v>
      </c>
      <c r="S179" s="128" t="str">
        <f t="shared" si="16"/>
        <v>Z:\projects\onc-prj-shr1210\sub-csr\prt-336\09_txt\l_adcm_new.txt</v>
      </c>
      <c r="T179" s="128" t="str">
        <f t="shared" si="17"/>
        <v>Z:\projects\onc-prj-shr1210\sub-csr\prt-336\11_output\l16-02-004-004-002-007-adcm-new.rtf</v>
      </c>
    </row>
    <row r="180" spans="1:20" x14ac:dyDescent="0.3">
      <c r="A180" s="75" t="s">
        <v>531</v>
      </c>
      <c r="C180" s="76" t="s">
        <v>584</v>
      </c>
      <c r="D180" s="108" t="s">
        <v>585</v>
      </c>
      <c r="E180" s="76"/>
      <c r="F180" s="76"/>
      <c r="G180" s="75" t="s">
        <v>586</v>
      </c>
      <c r="H180" t="s">
        <v>359</v>
      </c>
      <c r="I180" s="75" t="s">
        <v>63</v>
      </c>
      <c r="L180" s="75" t="s">
        <v>876</v>
      </c>
      <c r="M180" s="75" t="s">
        <v>1194</v>
      </c>
      <c r="N180" s="73" t="s">
        <v>1206</v>
      </c>
      <c r="O180" s="75" t="s">
        <v>800</v>
      </c>
      <c r="R180" s="77" t="s">
        <v>1074</v>
      </c>
      <c r="S180" s="128" t="str">
        <f t="shared" si="16"/>
        <v>Z:\projects\onc-prj-shr1210\sub-csr\prt-336\09_txt\l_adex_1210.txt</v>
      </c>
      <c r="T180" s="128" t="str">
        <f t="shared" si="17"/>
        <v>Z:\projects\onc-prj-shr1210\sub-csr\prt-336\11_output\l16-02-005-001-001-adex-1210.rtf</v>
      </c>
    </row>
    <row r="181" spans="1:20" x14ac:dyDescent="0.3">
      <c r="A181" s="75" t="s">
        <v>531</v>
      </c>
      <c r="C181" s="76" t="s">
        <v>587</v>
      </c>
      <c r="D181" s="108" t="s">
        <v>588</v>
      </c>
      <c r="E181" s="76"/>
      <c r="F181" s="76"/>
      <c r="G181" s="75" t="s">
        <v>589</v>
      </c>
      <c r="H181" t="s">
        <v>359</v>
      </c>
      <c r="I181" s="75" t="s">
        <v>63</v>
      </c>
      <c r="L181" s="75" t="s">
        <v>876</v>
      </c>
      <c r="M181" s="75" t="s">
        <v>1195</v>
      </c>
      <c r="N181" s="73" t="s">
        <v>1206</v>
      </c>
      <c r="O181" s="75" t="s">
        <v>800</v>
      </c>
      <c r="R181" s="77" t="s">
        <v>1075</v>
      </c>
      <c r="S181" s="128" t="str">
        <f t="shared" si="16"/>
        <v>Z:\projects\onc-prj-shr1210\sub-csr\prt-336\09_txt\l_adex_aptn.txt</v>
      </c>
      <c r="T181" s="128" t="str">
        <f t="shared" si="17"/>
        <v>Z:\projects\onc-prj-shr1210\sub-csr\prt-336\11_output\l16-02-005-001-002-adex-aptn.rtf</v>
      </c>
    </row>
    <row r="182" spans="1:20" x14ac:dyDescent="0.3">
      <c r="C182" s="76" t="s">
        <v>590</v>
      </c>
      <c r="D182" s="169" t="s">
        <v>1231</v>
      </c>
      <c r="E182" s="76"/>
      <c r="F182" s="76"/>
      <c r="G182" s="75" t="s">
        <v>1243</v>
      </c>
      <c r="H182" s="77" t="s">
        <v>359</v>
      </c>
      <c r="I182" s="75" t="s">
        <v>63</v>
      </c>
      <c r="L182" s="75" t="s">
        <v>876</v>
      </c>
      <c r="M182" s="75" t="s">
        <v>1264</v>
      </c>
      <c r="N182" s="73" t="s">
        <v>1265</v>
      </c>
      <c r="O182" s="75" t="s">
        <v>800</v>
      </c>
      <c r="R182" s="75" t="s">
        <v>1310</v>
      </c>
      <c r="S182" s="128" t="str">
        <f t="shared" si="16"/>
        <v>Z:\projects\onc-prj-shr1210\sub-csr\prt-336\09_txt\l_adpr_tace.txt</v>
      </c>
      <c r="T182" s="128" t="str">
        <f t="shared" si="17"/>
        <v>Z:\projects\onc-prj-shr1210\sub-csr\prt-336\11_output\l16-02-005-001-003-adpr-tace.rtf</v>
      </c>
    </row>
    <row r="183" spans="1:20" x14ac:dyDescent="0.3">
      <c r="A183" s="75" t="s">
        <v>531</v>
      </c>
      <c r="C183" s="76" t="s">
        <v>1229</v>
      </c>
      <c r="D183" s="142" t="s">
        <v>667</v>
      </c>
      <c r="E183" s="96"/>
      <c r="F183" s="96"/>
      <c r="G183" s="75" t="s">
        <v>1241</v>
      </c>
      <c r="H183" t="s">
        <v>1199</v>
      </c>
      <c r="I183" s="75" t="s">
        <v>63</v>
      </c>
      <c r="L183" s="75" t="s">
        <v>876</v>
      </c>
      <c r="M183" s="75" t="s">
        <v>1196</v>
      </c>
      <c r="N183" s="73" t="s">
        <v>1206</v>
      </c>
      <c r="O183" s="75" t="s">
        <v>800</v>
      </c>
      <c r="R183" s="77" t="s">
        <v>1076</v>
      </c>
      <c r="S183" s="128" t="str">
        <f t="shared" si="16"/>
        <v>Z:\projects\onc-prj-shr1210\sub-csr\prt-336\09_txt\l_adexsum_1210.txt</v>
      </c>
      <c r="T183" s="128" t="str">
        <f t="shared" si="17"/>
        <v>Z:\projects\onc-prj-shr1210\sub-csr\prt-336\11_output\l16-02-005-001-004-adexsum-1210.rtf</v>
      </c>
    </row>
    <row r="184" spans="1:20" x14ac:dyDescent="0.3">
      <c r="A184" s="75" t="s">
        <v>531</v>
      </c>
      <c r="C184" s="76" t="s">
        <v>1230</v>
      </c>
      <c r="D184" s="108" t="s">
        <v>591</v>
      </c>
      <c r="E184" s="76"/>
      <c r="F184" s="76"/>
      <c r="G184" s="75" t="s">
        <v>1242</v>
      </c>
      <c r="H184" t="s">
        <v>359</v>
      </c>
      <c r="I184" s="75" t="s">
        <v>63</v>
      </c>
      <c r="L184" s="75" t="s">
        <v>876</v>
      </c>
      <c r="M184" s="75" t="s">
        <v>1196</v>
      </c>
      <c r="N184" s="73" t="s">
        <v>1206</v>
      </c>
      <c r="O184" s="75" t="s">
        <v>800</v>
      </c>
      <c r="R184" s="77" t="s">
        <v>1077</v>
      </c>
      <c r="S184" s="128" t="str">
        <f t="shared" si="16"/>
        <v>Z:\projects\onc-prj-shr1210\sub-csr\prt-336\09_txt\l_adexsum_aptn.txt</v>
      </c>
      <c r="T184" s="128" t="str">
        <f t="shared" si="17"/>
        <v>Z:\projects\onc-prj-shr1210\sub-csr\prt-336\11_output\l16-02-005-001-005-adexsum-aptn.rtf</v>
      </c>
    </row>
    <row r="185" spans="1:20" x14ac:dyDescent="0.3">
      <c r="A185" s="75" t="s">
        <v>531</v>
      </c>
      <c r="C185" s="76" t="s">
        <v>592</v>
      </c>
      <c r="D185" s="170" t="s">
        <v>1312</v>
      </c>
      <c r="E185" s="96"/>
      <c r="F185" s="96"/>
      <c r="G185" s="75" t="s">
        <v>593</v>
      </c>
      <c r="H185" t="s">
        <v>359</v>
      </c>
      <c r="I185" s="75" t="s">
        <v>63</v>
      </c>
      <c r="L185" s="75" t="s">
        <v>876</v>
      </c>
      <c r="M185" s="75" t="s">
        <v>1197</v>
      </c>
      <c r="N185" s="73" t="s">
        <v>1206</v>
      </c>
      <c r="O185" s="75" t="s">
        <v>800</v>
      </c>
      <c r="R185" s="77" t="s">
        <v>1078</v>
      </c>
      <c r="S185" s="128" t="str">
        <f t="shared" si="16"/>
        <v>Z:\projects\onc-prj-shr1210\sub-csr\prt-336\09_txt\l_adpc_1210.txt</v>
      </c>
      <c r="T185" s="128" t="str">
        <f t="shared" si="17"/>
        <v>Z:\projects\onc-prj-shr1210\sub-csr\prt-336\11_output\l16-02-005-002-001-adpc-1210.rtf</v>
      </c>
    </row>
    <row r="186" spans="1:20" x14ac:dyDescent="0.3">
      <c r="A186" s="75" t="s">
        <v>531</v>
      </c>
      <c r="C186" s="76" t="s">
        <v>594</v>
      </c>
      <c r="D186" s="170" t="s">
        <v>1313</v>
      </c>
      <c r="E186" s="96"/>
      <c r="F186" s="96"/>
      <c r="G186" s="75" t="s">
        <v>595</v>
      </c>
      <c r="H186" t="s">
        <v>359</v>
      </c>
      <c r="I186" s="75" t="s">
        <v>63</v>
      </c>
      <c r="L186" s="75" t="s">
        <v>876</v>
      </c>
      <c r="M186" s="75" t="s">
        <v>1197</v>
      </c>
      <c r="N186" s="73" t="s">
        <v>1206</v>
      </c>
      <c r="O186" s="75" t="s">
        <v>800</v>
      </c>
      <c r="R186" s="77" t="s">
        <v>1079</v>
      </c>
      <c r="S186" s="128" t="str">
        <f t="shared" si="16"/>
        <v>Z:\projects\onc-prj-shr1210\sub-csr\prt-336\09_txt\l_adpc_aptn.txt</v>
      </c>
      <c r="T186" s="128" t="str">
        <f t="shared" si="17"/>
        <v>Z:\projects\onc-prj-shr1210\sub-csr\prt-336\11_output\l16-02-005-002-002-adpc-aptn.rtf</v>
      </c>
    </row>
    <row r="187" spans="1:20" x14ac:dyDescent="0.3">
      <c r="A187" s="75" t="s">
        <v>531</v>
      </c>
      <c r="C187" s="76" t="s">
        <v>596</v>
      </c>
      <c r="D187" s="161" t="s">
        <v>597</v>
      </c>
      <c r="E187" s="76"/>
      <c r="F187" s="76"/>
      <c r="G187" s="75" t="s">
        <v>598</v>
      </c>
      <c r="H187" t="s">
        <v>359</v>
      </c>
      <c r="I187" s="75" t="s">
        <v>63</v>
      </c>
      <c r="L187" s="75" t="s">
        <v>876</v>
      </c>
      <c r="M187" s="75" t="s">
        <v>1198</v>
      </c>
      <c r="N187" s="73" t="s">
        <v>1206</v>
      </c>
      <c r="O187" s="75" t="s">
        <v>800</v>
      </c>
      <c r="R187" s="77" t="s">
        <v>1080</v>
      </c>
      <c r="S187" s="128" t="str">
        <f t="shared" si="16"/>
        <v>Z:\projects\onc-prj-shr1210\sub-csr\prt-336\09_txt\l_adis.txt</v>
      </c>
      <c r="T187" s="128" t="str">
        <f t="shared" si="17"/>
        <v>Z:\projects\onc-prj-shr1210\sub-csr\prt-336\11_output\l16-02-005-005-adis.rtf</v>
      </c>
    </row>
    <row r="188" spans="1:20" ht="14.15" customHeight="1" x14ac:dyDescent="0.3">
      <c r="A188" s="75" t="s">
        <v>531</v>
      </c>
      <c r="C188" s="76" t="s">
        <v>599</v>
      </c>
      <c r="D188" s="108" t="s">
        <v>600</v>
      </c>
      <c r="E188" s="76"/>
      <c r="F188" s="76"/>
      <c r="G188" t="s">
        <v>601</v>
      </c>
      <c r="H188" t="s">
        <v>359</v>
      </c>
      <c r="I188" s="75" t="s">
        <v>18</v>
      </c>
      <c r="L188" s="75" t="s">
        <v>63</v>
      </c>
      <c r="M188" s="75" t="s">
        <v>1236</v>
      </c>
      <c r="N188" s="73" t="s">
        <v>1237</v>
      </c>
      <c r="O188" s="75" t="s">
        <v>800</v>
      </c>
      <c r="R188" s="77" t="s">
        <v>1081</v>
      </c>
      <c r="S188" s="128" t="str">
        <f t="shared" si="16"/>
        <v>Z:\projects\onc-prj-shr1210\sub-csr\prt-336\09_txt\l_adrs_irc.txt</v>
      </c>
      <c r="T188" s="128" t="str">
        <f t="shared" si="17"/>
        <v>Z:\projects\onc-prj-shr1210\sub-csr\prt-336\11_output\l16-02-006-001-001-adrs-irc.rtf</v>
      </c>
    </row>
    <row r="189" spans="1:20" ht="14.15" customHeight="1" x14ac:dyDescent="0.3">
      <c r="A189" s="75" t="s">
        <v>531</v>
      </c>
      <c r="C189" s="76" t="s">
        <v>602</v>
      </c>
      <c r="D189" s="108" t="s">
        <v>603</v>
      </c>
      <c r="E189" s="76"/>
      <c r="F189" s="76"/>
      <c r="G189" t="s">
        <v>604</v>
      </c>
      <c r="H189" t="s">
        <v>359</v>
      </c>
      <c r="I189" s="75" t="s">
        <v>18</v>
      </c>
      <c r="L189" s="75" t="s">
        <v>63</v>
      </c>
      <c r="M189" s="75" t="s">
        <v>1236</v>
      </c>
      <c r="N189" s="73" t="s">
        <v>1237</v>
      </c>
      <c r="O189" s="75" t="s">
        <v>800</v>
      </c>
      <c r="R189" s="77" t="s">
        <v>1082</v>
      </c>
      <c r="S189" s="128" t="str">
        <f t="shared" si="16"/>
        <v>Z:\projects\onc-prj-shr1210\sub-csr\prt-336\09_txt\l_adrs_inv.txt</v>
      </c>
      <c r="T189" s="128" t="str">
        <f t="shared" si="17"/>
        <v>Z:\projects\onc-prj-shr1210\sub-csr\prt-336\11_output\l16-02-006-001-002-adrs-inv.rtf</v>
      </c>
    </row>
    <row r="190" spans="1:20" ht="14.15" customHeight="1" x14ac:dyDescent="0.3">
      <c r="A190" s="75" t="s">
        <v>531</v>
      </c>
      <c r="C190" s="76" t="s">
        <v>605</v>
      </c>
      <c r="D190" s="135" t="s">
        <v>606</v>
      </c>
      <c r="E190" s="89"/>
      <c r="F190" s="89"/>
      <c r="G190" s="75" t="s">
        <v>672</v>
      </c>
      <c r="H190" s="77" t="s">
        <v>359</v>
      </c>
      <c r="I190" s="75" t="s">
        <v>18</v>
      </c>
      <c r="L190" s="75" t="s">
        <v>63</v>
      </c>
      <c r="M190" s="75" t="s">
        <v>1238</v>
      </c>
      <c r="N190" s="73" t="s">
        <v>1237</v>
      </c>
      <c r="O190" s="75" t="s">
        <v>800</v>
      </c>
      <c r="R190" s="77" t="s">
        <v>1083</v>
      </c>
      <c r="S190" s="128" t="str">
        <f t="shared" si="16"/>
        <v>Z:\projects\onc-prj-shr1210\sub-csr\prt-336\09_txt\l_adslrs_irc1.txt</v>
      </c>
      <c r="T190" s="128" t="str">
        <f t="shared" si="17"/>
        <v>Z:\projects\onc-prj-shr1210\sub-csr\prt-336\11_output\l16-02-006-002-002-adslrs-irc1.rtf</v>
      </c>
    </row>
    <row r="191" spans="1:20" ht="14.15" customHeight="1" x14ac:dyDescent="0.3">
      <c r="A191" s="75" t="s">
        <v>531</v>
      </c>
      <c r="C191" s="76" t="s">
        <v>607</v>
      </c>
      <c r="D191" s="150" t="s">
        <v>608</v>
      </c>
      <c r="E191" s="90"/>
      <c r="F191" s="90"/>
      <c r="G191" s="75" t="s">
        <v>671</v>
      </c>
      <c r="H191" s="77" t="s">
        <v>359</v>
      </c>
      <c r="I191" s="75" t="s">
        <v>18</v>
      </c>
      <c r="L191" s="75" t="s">
        <v>63</v>
      </c>
      <c r="M191" s="75" t="s">
        <v>1238</v>
      </c>
      <c r="N191" s="73" t="s">
        <v>1237</v>
      </c>
      <c r="O191" s="75" t="s">
        <v>800</v>
      </c>
      <c r="R191" s="77" t="s">
        <v>1084</v>
      </c>
      <c r="S191" s="128" t="str">
        <f t="shared" si="16"/>
        <v>Z:\projects\onc-prj-shr1210\sub-csr\prt-336\09_txt\l_adslrs_irc2.txt</v>
      </c>
      <c r="T191" s="128" t="str">
        <f t="shared" si="17"/>
        <v>Z:\projects\onc-prj-shr1210\sub-csr\prt-336\11_output\l16-02-006-002-002-adslrs-irc2.rtf</v>
      </c>
    </row>
    <row r="192" spans="1:20" ht="14.15" customHeight="1" x14ac:dyDescent="0.3">
      <c r="A192" s="75" t="s">
        <v>531</v>
      </c>
      <c r="C192" s="76" t="s">
        <v>609</v>
      </c>
      <c r="D192" s="108" t="s">
        <v>610</v>
      </c>
      <c r="E192" s="76"/>
      <c r="F192" s="76"/>
      <c r="G192" t="s">
        <v>611</v>
      </c>
      <c r="H192" t="s">
        <v>359</v>
      </c>
      <c r="I192" s="75" t="s">
        <v>18</v>
      </c>
      <c r="L192" s="75" t="s">
        <v>63</v>
      </c>
      <c r="M192" s="75" t="s">
        <v>1267</v>
      </c>
      <c r="N192" s="73" t="s">
        <v>1269</v>
      </c>
      <c r="O192" s="75" t="s">
        <v>800</v>
      </c>
      <c r="R192" s="77" t="s">
        <v>1085</v>
      </c>
      <c r="S192" s="128" t="str">
        <f t="shared" si="16"/>
        <v>Z:\projects\onc-prj-shr1210\sub-csr\prt-336\09_txt\l_adae.txt</v>
      </c>
      <c r="T192" s="128" t="str">
        <f t="shared" si="17"/>
        <v>Z:\projects\onc-prj-shr1210\sub-csr\prt-336\11_output\l16-02-007-001-adae.rtf</v>
      </c>
    </row>
    <row r="193" spans="1:20" ht="14.15" customHeight="1" x14ac:dyDescent="0.3">
      <c r="A193" s="75" t="s">
        <v>531</v>
      </c>
      <c r="C193" s="89" t="s">
        <v>612</v>
      </c>
      <c r="D193" s="108" t="s">
        <v>613</v>
      </c>
      <c r="E193" s="76"/>
      <c r="F193" s="76"/>
      <c r="G193" s="75" t="s">
        <v>674</v>
      </c>
      <c r="H193" s="77" t="s">
        <v>359</v>
      </c>
      <c r="I193" s="75" t="s">
        <v>18</v>
      </c>
      <c r="L193" s="75" t="s">
        <v>63</v>
      </c>
      <c r="M193" s="75" t="s">
        <v>1239</v>
      </c>
      <c r="N193" s="73" t="s">
        <v>1269</v>
      </c>
      <c r="O193" s="75" t="s">
        <v>800</v>
      </c>
      <c r="R193" s="77" t="s">
        <v>1086</v>
      </c>
      <c r="S193" s="128" t="str">
        <f t="shared" si="16"/>
        <v>Z:\projects\onc-prj-shr1210\sub-csr\prt-336\09_txt\l-adlb-abnormal.txt</v>
      </c>
      <c r="T193" s="128" t="str">
        <f t="shared" si="17"/>
        <v>Z:\projects\onc-prj-shr1210\sub-csr\prt-336\11_output\l16-02-008-001-001-adlb-abnormal.rtf</v>
      </c>
    </row>
    <row r="194" spans="1:20" ht="14.15" customHeight="1" x14ac:dyDescent="0.3">
      <c r="A194" s="75" t="s">
        <v>531</v>
      </c>
      <c r="C194" s="76" t="s">
        <v>614</v>
      </c>
      <c r="D194" s="108" t="s">
        <v>615</v>
      </c>
      <c r="E194" s="76"/>
      <c r="F194" s="76"/>
      <c r="G194" s="75" t="s">
        <v>673</v>
      </c>
      <c r="H194" s="77" t="s">
        <v>359</v>
      </c>
      <c r="I194" s="75" t="s">
        <v>18</v>
      </c>
      <c r="L194" s="75" t="s">
        <v>63</v>
      </c>
      <c r="M194" s="75" t="s">
        <v>1268</v>
      </c>
      <c r="N194" s="73" t="s">
        <v>1269</v>
      </c>
      <c r="O194" s="75" t="s">
        <v>800</v>
      </c>
      <c r="R194" s="77" t="s">
        <v>1087</v>
      </c>
      <c r="S194" s="128" t="str">
        <f t="shared" si="16"/>
        <v>Z:\projects\onc-prj-shr1210\sub-csr\prt-336\09_txt\l-advs.txt</v>
      </c>
      <c r="T194" s="128" t="str">
        <f t="shared" si="17"/>
        <v>Z:\projects\onc-prj-shr1210\sub-csr\prt-336\11_output\l16-02-008-002-001-advs.rtf</v>
      </c>
    </row>
    <row r="195" spans="1:20" ht="14.15" customHeight="1" x14ac:dyDescent="0.3">
      <c r="A195" s="75" t="s">
        <v>531</v>
      </c>
      <c r="C195" s="159" t="s">
        <v>1274</v>
      </c>
      <c r="D195" s="108" t="s">
        <v>616</v>
      </c>
      <c r="E195" s="76"/>
      <c r="F195" s="76"/>
      <c r="G195" t="s">
        <v>617</v>
      </c>
      <c r="H195" s="77" t="s">
        <v>359</v>
      </c>
      <c r="I195" s="75" t="s">
        <v>18</v>
      </c>
      <c r="L195" s="75" t="s">
        <v>63</v>
      </c>
      <c r="M195" s="75" t="s">
        <v>1271</v>
      </c>
      <c r="N195" s="73" t="s">
        <v>1269</v>
      </c>
      <c r="O195" s="75" t="s">
        <v>800</v>
      </c>
      <c r="P195" s="101" t="s">
        <v>1235</v>
      </c>
      <c r="R195" s="77" t="s">
        <v>1088</v>
      </c>
      <c r="S195" s="128" t="str">
        <f t="shared" si="16"/>
        <v>Z:\projects\onc-prj-shr1210\sub-csr\prt-336\09_txt\l-adeg.txt</v>
      </c>
      <c r="T195" s="128" t="str">
        <f t="shared" si="17"/>
        <v>Z:\projects\onc-prj-shr1210\sub-csr\prt-336\11_output\l16-02-008-003-001-adeg.rtf</v>
      </c>
    </row>
    <row r="196" spans="1:20" ht="14.15" customHeight="1" x14ac:dyDescent="0.3">
      <c r="A196" s="75" t="s">
        <v>531</v>
      </c>
      <c r="C196" s="76" t="s">
        <v>618</v>
      </c>
      <c r="D196" s="108" t="s">
        <v>619</v>
      </c>
      <c r="E196" s="76"/>
      <c r="F196" s="76"/>
      <c r="G196" s="75" t="s">
        <v>675</v>
      </c>
      <c r="H196" s="77" t="s">
        <v>359</v>
      </c>
      <c r="I196" s="75" t="s">
        <v>18</v>
      </c>
      <c r="L196" s="75" t="s">
        <v>63</v>
      </c>
      <c r="M196" s="75" t="s">
        <v>1271</v>
      </c>
      <c r="N196" s="73" t="s">
        <v>1266</v>
      </c>
      <c r="O196" s="75" t="s">
        <v>800</v>
      </c>
      <c r="R196" s="77" t="s">
        <v>1089</v>
      </c>
      <c r="S196" s="128" t="str">
        <f t="shared" si="16"/>
        <v>Z:\projects\onc-prj-shr1210\sub-csr\prt-336\09_txt\l-adeg-cat.txt</v>
      </c>
      <c r="T196" s="128" t="str">
        <f t="shared" si="17"/>
        <v>Z:\projects\onc-prj-shr1210\sub-csr\prt-336\11_output\l16-02-008-003-002-adeg-cat.rtf</v>
      </c>
    </row>
    <row r="197" spans="1:20" ht="14.15" customHeight="1" x14ac:dyDescent="0.3">
      <c r="A197" s="75" t="s">
        <v>531</v>
      </c>
      <c r="C197" s="76" t="s">
        <v>620</v>
      </c>
      <c r="D197" s="108" t="s">
        <v>621</v>
      </c>
      <c r="E197" s="76"/>
      <c r="F197" s="76"/>
      <c r="G197" t="s">
        <v>622</v>
      </c>
      <c r="H197" s="77" t="s">
        <v>359</v>
      </c>
      <c r="I197" s="75" t="s">
        <v>18</v>
      </c>
      <c r="L197" s="75" t="s">
        <v>63</v>
      </c>
      <c r="M197" s="75" t="s">
        <v>1272</v>
      </c>
      <c r="N197" s="73" t="s">
        <v>1266</v>
      </c>
      <c r="O197" s="75" t="s">
        <v>800</v>
      </c>
      <c r="R197" s="77" t="s">
        <v>1090</v>
      </c>
      <c r="S197" s="128" t="str">
        <f t="shared" si="16"/>
        <v>Z:\projects\onc-prj-shr1210\sub-csr\prt-336\09_txt\l-adpe.txt</v>
      </c>
      <c r="T197" s="128" t="str">
        <f t="shared" si="17"/>
        <v>Z:\projects\onc-prj-shr1210\sub-csr\prt-336\11_output\l16-02-008-004-adpe.rtf</v>
      </c>
    </row>
    <row r="198" spans="1:20" ht="14.15" customHeight="1" x14ac:dyDescent="0.3">
      <c r="A198" s="75" t="s">
        <v>531</v>
      </c>
      <c r="C198" s="76" t="s">
        <v>623</v>
      </c>
      <c r="D198" s="108" t="s">
        <v>624</v>
      </c>
      <c r="E198" s="76"/>
      <c r="F198" s="76"/>
      <c r="G198" t="s">
        <v>625</v>
      </c>
      <c r="H198" t="s">
        <v>359</v>
      </c>
      <c r="I198" s="75" t="s">
        <v>18</v>
      </c>
      <c r="L198" s="75" t="s">
        <v>63</v>
      </c>
      <c r="M198" s="75" t="s">
        <v>1273</v>
      </c>
      <c r="N198" s="73" t="s">
        <v>1269</v>
      </c>
      <c r="O198" s="75" t="s">
        <v>800</v>
      </c>
      <c r="R198" s="77" t="s">
        <v>1091</v>
      </c>
      <c r="S198" s="128" t="str">
        <f t="shared" si="16"/>
        <v>Z:\projects\onc-prj-shr1210\sub-csr\prt-336\09_txt\l-admi.txt</v>
      </c>
      <c r="T198" s="128" t="str">
        <f t="shared" si="17"/>
        <v>Z:\projects\onc-prj-shr1210\sub-csr\prt-336\11_output\l16-02-008-005-001-admi.rtf</v>
      </c>
    </row>
    <row r="199" spans="1:20" ht="13.5" customHeight="1" x14ac:dyDescent="0.3">
      <c r="A199" s="75" t="s">
        <v>531</v>
      </c>
      <c r="C199" s="76" t="s">
        <v>626</v>
      </c>
      <c r="D199" s="108" t="s">
        <v>627</v>
      </c>
      <c r="E199" s="76"/>
      <c r="F199" s="76"/>
      <c r="G199" t="s">
        <v>628</v>
      </c>
      <c r="H199" t="s">
        <v>359</v>
      </c>
      <c r="I199" s="75" t="s">
        <v>18</v>
      </c>
      <c r="L199" s="75" t="s">
        <v>63</v>
      </c>
      <c r="M199" s="75" t="s">
        <v>1270</v>
      </c>
      <c r="N199" s="73" t="s">
        <v>1269</v>
      </c>
      <c r="O199" s="75" t="s">
        <v>800</v>
      </c>
      <c r="R199" s="77" t="s">
        <v>1092</v>
      </c>
      <c r="S199" s="128" t="str">
        <f t="shared" si="16"/>
        <v>Z:\projects\onc-prj-shr1210\sub-csr\prt-336\09_txt\l-adcv.txt</v>
      </c>
      <c r="T199" s="128" t="str">
        <f t="shared" si="17"/>
        <v>Z:\projects\onc-prj-shr1210\sub-csr\prt-336\11_output\l16-02-008-005-002-adcv.rtf</v>
      </c>
    </row>
    <row r="200" spans="1:20" ht="14.15" customHeight="1" x14ac:dyDescent="0.3">
      <c r="A200" s="75" t="s">
        <v>531</v>
      </c>
      <c r="C200" s="76" t="s">
        <v>629</v>
      </c>
      <c r="D200" s="108" t="s">
        <v>630</v>
      </c>
      <c r="E200" s="76"/>
      <c r="F200" s="76"/>
      <c r="G200" t="s">
        <v>661</v>
      </c>
      <c r="H200" t="s">
        <v>359</v>
      </c>
      <c r="I200" s="75" t="s">
        <v>18</v>
      </c>
      <c r="L200" s="75" t="s">
        <v>63</v>
      </c>
      <c r="M200" s="75" t="s">
        <v>1240</v>
      </c>
      <c r="N200" s="73" t="s">
        <v>1269</v>
      </c>
      <c r="O200" s="75" t="s">
        <v>800</v>
      </c>
      <c r="R200" s="77" t="s">
        <v>1254</v>
      </c>
      <c r="S200" s="128" t="str">
        <f t="shared" si="16"/>
        <v>Z:\projects\onc-prj-shr1210\sub-csr\prt-336\09_txt\l-adqs1_1.txt</v>
      </c>
      <c r="T200" s="128" t="str">
        <f t="shared" si="17"/>
        <v>Z:\projects\onc-prj-shr1210\sub-csr\prt-336\11_output\l16-02-008-006-001-adqs1-1.rtf</v>
      </c>
    </row>
    <row r="201" spans="1:20" ht="14.15" customHeight="1" x14ac:dyDescent="0.3">
      <c r="A201" s="75" t="s">
        <v>531</v>
      </c>
      <c r="C201" s="76" t="s">
        <v>629</v>
      </c>
      <c r="D201" s="154" t="s">
        <v>678</v>
      </c>
      <c r="E201" s="97"/>
      <c r="F201" s="97"/>
      <c r="G201" s="77" t="s">
        <v>662</v>
      </c>
      <c r="H201" s="77" t="s">
        <v>359</v>
      </c>
      <c r="I201" s="75" t="s">
        <v>18</v>
      </c>
      <c r="L201" s="75" t="s">
        <v>63</v>
      </c>
      <c r="M201" s="75" t="s">
        <v>1240</v>
      </c>
      <c r="N201" s="73" t="s">
        <v>1269</v>
      </c>
      <c r="O201" s="75" t="s">
        <v>800</v>
      </c>
      <c r="R201" s="77" t="s">
        <v>1255</v>
      </c>
      <c r="S201" s="128" t="str">
        <f t="shared" si="16"/>
        <v>Z:\projects\onc-prj-shr1210\sub-csr\prt-336\09_txt\l-adqs1_2.txt</v>
      </c>
      <c r="T201" s="128" t="str">
        <f t="shared" si="17"/>
        <v>Z:\projects\onc-prj-shr1210\sub-csr\prt-336\11_output\l16-02-008-006-001-adqs1-2.rtf</v>
      </c>
    </row>
    <row r="202" spans="1:20" ht="14.15" customHeight="1" x14ac:dyDescent="0.3">
      <c r="A202" s="75" t="s">
        <v>531</v>
      </c>
      <c r="C202" s="76" t="s">
        <v>629</v>
      </c>
      <c r="D202" s="108" t="s">
        <v>660</v>
      </c>
      <c r="E202" s="76"/>
      <c r="F202" s="76"/>
      <c r="G202" s="77" t="s">
        <v>663</v>
      </c>
      <c r="H202" s="77" t="s">
        <v>359</v>
      </c>
      <c r="I202" s="75" t="s">
        <v>18</v>
      </c>
      <c r="L202" s="75" t="s">
        <v>63</v>
      </c>
      <c r="M202" s="75" t="s">
        <v>1240</v>
      </c>
      <c r="N202" s="73" t="s">
        <v>1269</v>
      </c>
      <c r="O202" s="75" t="s">
        <v>800</v>
      </c>
      <c r="R202" s="77" t="s">
        <v>1256</v>
      </c>
      <c r="S202" s="128" t="str">
        <f t="shared" si="16"/>
        <v>Z:\projects\onc-prj-shr1210\sub-csr\prt-336\09_txt\l-adqs1_3.txt</v>
      </c>
      <c r="T202" s="128" t="str">
        <f t="shared" si="17"/>
        <v>Z:\projects\onc-prj-shr1210\sub-csr\prt-336\11_output\l16-02-008-006-001-adqs1-3.rtf</v>
      </c>
    </row>
    <row r="203" spans="1:20" ht="14.15" customHeight="1" x14ac:dyDescent="0.3">
      <c r="A203" s="75" t="s">
        <v>531</v>
      </c>
      <c r="C203" s="76" t="s">
        <v>629</v>
      </c>
      <c r="D203" s="108" t="s">
        <v>660</v>
      </c>
      <c r="E203" s="76"/>
      <c r="F203" s="76"/>
      <c r="G203" s="77" t="s">
        <v>664</v>
      </c>
      <c r="H203" s="77" t="s">
        <v>359</v>
      </c>
      <c r="I203" s="75" t="s">
        <v>18</v>
      </c>
      <c r="L203" s="75" t="s">
        <v>63</v>
      </c>
      <c r="M203" s="75" t="s">
        <v>1240</v>
      </c>
      <c r="N203" s="73" t="s">
        <v>1269</v>
      </c>
      <c r="O203" s="75" t="s">
        <v>800</v>
      </c>
      <c r="R203" s="77" t="s">
        <v>1093</v>
      </c>
      <c r="S203" s="128" t="str">
        <f t="shared" ref="S203:S211" si="18">HYPERLINK(_xlfn.CONCAT("Z:\projects\onc-prj-shr1210\sub-csr\prt-336\09_txt\",R203))</f>
        <v>Z:\projects\onc-prj-shr1210\sub-csr\prt-336\09_txt\l-adqs1_4.txt</v>
      </c>
      <c r="T203" s="128" t="str">
        <f t="shared" si="17"/>
        <v>Z:\projects\onc-prj-shr1210\sub-csr\prt-336\11_output\l16-02-008-006-001-adqs1-4.rtf</v>
      </c>
    </row>
    <row r="204" spans="1:20" ht="14.15" customHeight="1" x14ac:dyDescent="0.3">
      <c r="C204" s="76" t="s">
        <v>629</v>
      </c>
      <c r="D204" s="108" t="s">
        <v>660</v>
      </c>
      <c r="E204" s="76"/>
      <c r="F204" s="76"/>
      <c r="G204" s="77" t="s">
        <v>1246</v>
      </c>
      <c r="H204" s="77" t="s">
        <v>359</v>
      </c>
      <c r="I204" s="75" t="s">
        <v>18</v>
      </c>
      <c r="L204" s="75" t="s">
        <v>63</v>
      </c>
      <c r="M204" s="75" t="s">
        <v>1142</v>
      </c>
      <c r="N204" s="73" t="s">
        <v>1269</v>
      </c>
      <c r="O204" s="75" t="s">
        <v>800</v>
      </c>
      <c r="R204" s="77" t="s">
        <v>1257</v>
      </c>
      <c r="S204" s="128" t="str">
        <f t="shared" si="18"/>
        <v>Z:\projects\onc-prj-shr1210\sub-csr\prt-336\09_txt\l-adqs1_5.txt</v>
      </c>
      <c r="T204" s="128" t="str">
        <f t="shared" si="17"/>
        <v>Z:\projects\onc-prj-shr1210\sub-csr\prt-336\11_output\l16-02-008-006-001-adqs1-5.rtf</v>
      </c>
    </row>
    <row r="205" spans="1:20" ht="14.15" customHeight="1" x14ac:dyDescent="0.3">
      <c r="C205" s="76" t="s">
        <v>629</v>
      </c>
      <c r="D205" s="108" t="s">
        <v>660</v>
      </c>
      <c r="E205" s="76"/>
      <c r="F205" s="76"/>
      <c r="G205" s="77" t="s">
        <v>1247</v>
      </c>
      <c r="H205" s="77" t="s">
        <v>359</v>
      </c>
      <c r="I205" s="75" t="s">
        <v>18</v>
      </c>
      <c r="L205" s="75" t="s">
        <v>63</v>
      </c>
      <c r="M205" s="75" t="s">
        <v>1142</v>
      </c>
      <c r="N205" s="73" t="s">
        <v>1269</v>
      </c>
      <c r="O205" s="75" t="s">
        <v>800</v>
      </c>
      <c r="R205" s="77" t="s">
        <v>1258</v>
      </c>
      <c r="S205" s="128" t="str">
        <f t="shared" si="18"/>
        <v>Z:\projects\onc-prj-shr1210\sub-csr\prt-336\09_txt\l-adqs1_6.txt</v>
      </c>
      <c r="T205" s="128" t="str">
        <f t="shared" si="17"/>
        <v>Z:\projects\onc-prj-shr1210\sub-csr\prt-336\11_output\l16-02-008-006-001-adqs1-6.rtf</v>
      </c>
    </row>
    <row r="206" spans="1:20" ht="14.15" customHeight="1" x14ac:dyDescent="0.3">
      <c r="C206" s="76" t="s">
        <v>629</v>
      </c>
      <c r="D206" s="158" t="s">
        <v>1251</v>
      </c>
      <c r="E206" s="76"/>
      <c r="F206" s="76"/>
      <c r="G206" s="77" t="s">
        <v>1248</v>
      </c>
      <c r="H206" s="77" t="s">
        <v>359</v>
      </c>
      <c r="I206" s="75" t="s">
        <v>18</v>
      </c>
      <c r="L206" s="75" t="s">
        <v>63</v>
      </c>
      <c r="M206" s="75" t="s">
        <v>1142</v>
      </c>
      <c r="N206" s="73" t="s">
        <v>1269</v>
      </c>
      <c r="O206" s="75" t="s">
        <v>800</v>
      </c>
      <c r="R206" s="77" t="s">
        <v>1259</v>
      </c>
      <c r="S206" s="128" t="str">
        <f t="shared" si="18"/>
        <v>Z:\projects\onc-prj-shr1210\sub-csr\prt-336\09_txt\l-adqs1_7.txt</v>
      </c>
      <c r="T206" s="128" t="str">
        <f t="shared" si="17"/>
        <v>Z:\projects\onc-prj-shr1210\sub-csr\prt-336\11_output\l16-02-008-006-001-adqs1-7.rtf</v>
      </c>
    </row>
    <row r="207" spans="1:20" ht="14.15" customHeight="1" x14ac:dyDescent="0.3">
      <c r="C207" s="76" t="s">
        <v>631</v>
      </c>
      <c r="D207" s="108" t="s">
        <v>632</v>
      </c>
      <c r="E207" s="76"/>
      <c r="F207" s="76"/>
      <c r="G207" s="77" t="s">
        <v>633</v>
      </c>
      <c r="H207" s="77" t="s">
        <v>359</v>
      </c>
      <c r="I207" s="75" t="s">
        <v>18</v>
      </c>
      <c r="L207" s="75" t="s">
        <v>63</v>
      </c>
      <c r="M207" s="75" t="s">
        <v>1142</v>
      </c>
      <c r="N207" s="73" t="s">
        <v>1269</v>
      </c>
      <c r="O207" s="75" t="s">
        <v>800</v>
      </c>
      <c r="R207" s="77" t="s">
        <v>1260</v>
      </c>
      <c r="S207" s="128" t="str">
        <f t="shared" si="18"/>
        <v>Z:\projects\onc-prj-shr1210\sub-csr\prt-336\09_txt\l-adqs2.txt</v>
      </c>
      <c r="T207" s="128" t="str">
        <f t="shared" si="17"/>
        <v>Z:\projects\onc-prj-shr1210\sub-csr\prt-336\11_output\l16-02-008-006-002-adqs2.rtf</v>
      </c>
    </row>
    <row r="208" spans="1:20" ht="14.15" customHeight="1" x14ac:dyDescent="0.3">
      <c r="C208" s="76" t="s">
        <v>631</v>
      </c>
      <c r="D208" s="158" t="s">
        <v>1252</v>
      </c>
      <c r="E208" s="76"/>
      <c r="F208" s="76"/>
      <c r="G208" s="77" t="s">
        <v>1249</v>
      </c>
      <c r="H208" s="77" t="s">
        <v>359</v>
      </c>
      <c r="I208" s="75" t="s">
        <v>18</v>
      </c>
      <c r="L208" s="75" t="s">
        <v>63</v>
      </c>
      <c r="M208" s="75" t="s">
        <v>1142</v>
      </c>
      <c r="N208" s="73" t="s">
        <v>1269</v>
      </c>
      <c r="O208" s="75" t="s">
        <v>800</v>
      </c>
      <c r="R208" s="77" t="s">
        <v>1261</v>
      </c>
      <c r="S208" s="128" t="str">
        <f t="shared" si="18"/>
        <v>Z:\projects\onc-prj-shr1210\sub-csr\prt-336\09_txt\l-adqs2_1.txt</v>
      </c>
      <c r="T208" s="128" t="str">
        <f t="shared" si="17"/>
        <v>Z:\projects\onc-prj-shr1210\sub-csr\prt-336\11_output\l16-02-008-006-002-adqs2_1.rtf</v>
      </c>
    </row>
    <row r="209" spans="1:20" ht="14.15" customHeight="1" x14ac:dyDescent="0.3">
      <c r="C209" s="76" t="s">
        <v>631</v>
      </c>
      <c r="D209" s="158" t="s">
        <v>1252</v>
      </c>
      <c r="E209" s="76"/>
      <c r="F209" s="76"/>
      <c r="G209" s="77" t="s">
        <v>1250</v>
      </c>
      <c r="H209" s="77" t="s">
        <v>359</v>
      </c>
      <c r="I209" s="75" t="s">
        <v>18</v>
      </c>
      <c r="L209" s="75" t="s">
        <v>63</v>
      </c>
      <c r="M209" s="75" t="s">
        <v>1142</v>
      </c>
      <c r="N209" s="73" t="s">
        <v>1269</v>
      </c>
      <c r="O209" s="75" t="s">
        <v>800</v>
      </c>
      <c r="R209" s="77" t="s">
        <v>1262</v>
      </c>
      <c r="S209" s="128" t="str">
        <f t="shared" si="18"/>
        <v>Z:\projects\onc-prj-shr1210\sub-csr\prt-336\09_txt\l-adqs2_2.txt</v>
      </c>
      <c r="T209" s="128" t="str">
        <f t="shared" si="17"/>
        <v>Z:\projects\onc-prj-shr1210\sub-csr\prt-336\11_output\l16-02-008-006-002-adqs2_2.rtf</v>
      </c>
    </row>
    <row r="210" spans="1:20" ht="14.15" customHeight="1" x14ac:dyDescent="0.3">
      <c r="C210" s="76" t="s">
        <v>631</v>
      </c>
      <c r="D210" s="158" t="s">
        <v>1252</v>
      </c>
      <c r="E210" s="76"/>
      <c r="F210" s="76"/>
      <c r="G210" s="77" t="s">
        <v>1253</v>
      </c>
      <c r="H210" s="77" t="s">
        <v>359</v>
      </c>
      <c r="I210" s="75" t="s">
        <v>18</v>
      </c>
      <c r="L210" s="75" t="s">
        <v>63</v>
      </c>
      <c r="M210" s="75" t="s">
        <v>1142</v>
      </c>
      <c r="N210" s="73" t="s">
        <v>1269</v>
      </c>
      <c r="O210" s="75" t="s">
        <v>800</v>
      </c>
      <c r="R210" s="77" t="s">
        <v>1263</v>
      </c>
      <c r="S210" s="128" t="str">
        <f t="shared" si="18"/>
        <v>Z:\projects\onc-prj-shr1210\sub-csr\prt-336\09_txt\l-adqs2_3.txt</v>
      </c>
      <c r="T210" s="128" t="str">
        <f t="shared" si="17"/>
        <v>Z:\projects\onc-prj-shr1210\sub-csr\prt-336\11_output\l16-02-008-006-002-adqs2_3.rtf</v>
      </c>
    </row>
    <row r="211" spans="1:20" ht="14.15" customHeight="1" x14ac:dyDescent="0.3">
      <c r="A211" s="75" t="s">
        <v>531</v>
      </c>
      <c r="C211" s="76" t="s">
        <v>634</v>
      </c>
      <c r="D211" s="108" t="s">
        <v>635</v>
      </c>
      <c r="E211" s="76"/>
      <c r="F211" s="76"/>
      <c r="G211" t="s">
        <v>636</v>
      </c>
      <c r="H211" t="s">
        <v>359</v>
      </c>
      <c r="I211" s="75" t="s">
        <v>18</v>
      </c>
      <c r="L211" s="75" t="s">
        <v>63</v>
      </c>
      <c r="M211" s="75" t="s">
        <v>1142</v>
      </c>
      <c r="N211" s="73" t="s">
        <v>1269</v>
      </c>
      <c r="O211" s="75" t="s">
        <v>800</v>
      </c>
      <c r="R211" s="77" t="s">
        <v>1094</v>
      </c>
      <c r="S211" s="128" t="str">
        <f t="shared" si="18"/>
        <v>Z:\projects\onc-prj-shr1210\sub-csr\prt-336\09_txt\l-adrs-ecog.txt</v>
      </c>
      <c r="T211" s="128" t="str">
        <f t="shared" si="17"/>
        <v>Z:\projects\onc-prj-shr1210\sub-csr\prt-336\11_output\l16-02-008-006-003-adrs-ecog.rtf</v>
      </c>
    </row>
  </sheetData>
  <phoneticPr fontId="46" type="noConversion"/>
  <dataValidations count="3">
    <dataValidation type="list" allowBlank="1" showInputMessage="1" showErrorMessage="1" sqref="O2:O1048576" xr:uid="{00000000-0002-0000-0200-000000000000}">
      <formula1>"Pass,Pass with Data Issue,Pending"</formula1>
    </dataValidation>
    <dataValidation type="list" allowBlank="1" showInputMessage="1" showErrorMessage="1" sqref="A2:A1048576" xr:uid="{00000000-0002-0000-0200-000002000000}">
      <formula1>"Table, Listing, Figure"</formula1>
    </dataValidation>
    <dataValidation type="list" allowBlank="1" showInputMessage="1" showErrorMessage="1" sqref="K2:K1048576" xr:uid="{00000000-0002-0000-0200-000001000000}">
      <formula1>"Ready,Pending"</formula1>
    </dataValidation>
  </dataValidations>
  <hyperlinks>
    <hyperlink ref="Q73" r:id="rId1" xr:uid="{00000000-0004-0000-0200-000000000000}"/>
    <hyperlink ref="Q74" r:id="rId2" display="RPTHORIZ^N@SUBSET_ADD^relgr1=&quot;药物相关&quot;" xr:uid="{00000000-0004-0000-0200-000001000000}"/>
    <hyperlink ref="Q75" r:id="rId3" display="RPTHORIZ^N@SUBSET_ADD^relgr2=&quot;药物相关&quot;" xr:uid="{00000000-0004-0000-0200-000002000000}"/>
    <hyperlink ref="Q76" r:id="rId4" display="RPTHORIZ^N@SUBSET_ADD^relgr3=&quot;药物相关&quot;" xr:uid="{00000000-0004-0000-0200-000003000000}"/>
    <hyperlink ref="Q79" r:id="rId5" xr:uid="{00000000-0004-0000-0200-000004000000}"/>
    <hyperlink ref="Q80" r:id="rId6" display="RPTHORIZ^N@SUBSET_ADD^relgr1=&quot;药物相关&quot;" xr:uid="{00000000-0004-0000-0200-000005000000}"/>
    <hyperlink ref="Q81" r:id="rId7" display="RPTHORIZ^N@SUBSET_ADD^relgr2=&quot;药物相关&quot;" xr:uid="{00000000-0004-0000-0200-000006000000}"/>
    <hyperlink ref="Q82" r:id="rId8" display="RPTHORIZ^N@SUBSET_ADD^relgr3=&quot;药物相关&quot;" xr:uid="{00000000-0004-0000-0200-000007000000}"/>
    <hyperlink ref="Q83" r:id="rId9" xr:uid="{00000000-0004-0000-0200-000008000000}"/>
    <hyperlink ref="Q87" r:id="rId10" display="RPTHORIZ^N@SUBSET_ADD^relgr5=&quot;药物相关&quot;" xr:uid="{00000000-0004-0000-0200-000009000000}"/>
    <hyperlink ref="Q88" r:id="rId11" display="RPTHORIZ^N@SUBSET_ADD^relgr1=&quot;药物相关&quot;" xr:uid="{00000000-0004-0000-0200-00000A000000}"/>
    <hyperlink ref="Q89" r:id="rId12" display="RPTHORIZ^N@SUBSET_ADD^relgr2=&quot;药物相关&quot;" xr:uid="{00000000-0004-0000-0200-00000B000000}"/>
    <hyperlink ref="Q90" r:id="rId13" display="RPTHORIZ^N@SUBSET_ADD^relgr3=&quot;药物相关&quot;" xr:uid="{00000000-0004-0000-0200-00000C000000}"/>
    <hyperlink ref="Q93" r:id="rId14" xr:uid="{00000000-0004-0000-0200-00000D000000}"/>
    <hyperlink ref="Q99" r:id="rId15" xr:uid="{00000000-0004-0000-0200-00000E000000}"/>
    <hyperlink ref="Q100" r:id="rId16" display="RPTHORIZ^N@SUBSET_ADD^relgr1=&quot;药物相关&quot;" xr:uid="{00000000-0004-0000-0200-00000F000000}"/>
    <hyperlink ref="Q101" r:id="rId17" display="RPTHORIZ^N@SUBSET_ADD^relgr2=&quot;药物相关&quot;" xr:uid="{00000000-0004-0000-0200-000010000000}"/>
    <hyperlink ref="Q102" r:id="rId18" xr:uid="{00000000-0004-0000-0200-000011000000}"/>
    <hyperlink ref="Q103" r:id="rId19" display="RPTHORIZ^N@SUBSET_ADD^relgr1=&quot;药物相关&quot;" xr:uid="{00000000-0004-0000-0200-000012000000}"/>
    <hyperlink ref="Q104" r:id="rId20" display="RPTHORIZ^N@SUBSET_ADD^relgr1=&quot;药物相关&quot;" xr:uid="{00000000-0004-0000-0200-000013000000}"/>
    <hyperlink ref="Q105" r:id="rId21" display="RPTHORIZ^N@SUBSET_ADD^relgr1=&quot;药物相关&quot;" xr:uid="{00000000-0004-0000-0200-000014000000}"/>
    <hyperlink ref="Q106" r:id="rId22" display="RPTHORIZ^N@SUBSET_ADD^relgr1=&quot;药物相关&quot;" xr:uid="{00000000-0004-0000-0200-000015000000}"/>
    <hyperlink ref="Q107" r:id="rId23" display="RPTHORIZ^N@SUBSET_ADD^relgr1=&quot;药物相关&quot;" xr:uid="{00000000-0004-0000-0200-000016000000}"/>
    <hyperlink ref="Q108" r:id="rId24" display="RPTHORIZ^N@SUBSET_ADD^relgr1=&quot;药物相关&quot;" xr:uid="{00000000-0004-0000-0200-000017000000}"/>
    <hyperlink ref="Q109" r:id="rId25" display="RPTHORIZ^N@SUBSET_ADD^relgr1=&quot;药物相关&quot;" xr:uid="{00000000-0004-0000-0200-000018000000}"/>
    <hyperlink ref="Q110" r:id="rId26" display="RPTHORIZ^N@SUBSET_ADD^relgr1=&quot;药物相关&quot;" xr:uid="{00000000-0004-0000-0200-000019000000}"/>
    <hyperlink ref="Q111" r:id="rId27" display="RPTHORIZ^N@SUBSET_ADD^relgr1=&quot;药物相关&quot;" xr:uid="{00000000-0004-0000-0200-00001A000000}"/>
    <hyperlink ref="Q112" r:id="rId28" display="RPTHORIZ^N@SUBSET_ADD^relgr1=&quot;药物相关&quot;" xr:uid="{00000000-0004-0000-0200-00001B000000}"/>
    <hyperlink ref="Q113" r:id="rId29" display="RPTHORIZ^N@SUBSET_ADD^relgr1=&quot;药物相关&quot;" xr:uid="{00000000-0004-0000-0200-00001C000000}"/>
    <hyperlink ref="Q114" r:id="rId30" display="RPTHORIZ^N@SUBSET_ADD^relgr1=&quot;药物相关&quot;" xr:uid="{00000000-0004-0000-0200-00001D000000}"/>
    <hyperlink ref="Q115" r:id="rId31" display="RPTHORIZ^N@SUBSET_ADD^relgr1=&quot;药物相关&quot;" xr:uid="{00000000-0004-0000-0200-00001E000000}"/>
    <hyperlink ref="Q116" r:id="rId32" display="RPTHORIZ^N@SUBSET_ADD^relgr1=&quot;药物相关&quot;" xr:uid="{00000000-0004-0000-0200-00001F000000}"/>
    <hyperlink ref="Q118" r:id="rId33" display="RPTHORIZ^N@SUBSET_ADD^relgr1=&quot;药物相关&quot;" xr:uid="{00000000-0004-0000-0200-000020000000}"/>
    <hyperlink ref="Q119" r:id="rId34" display="RPTHORIZ^N@SUBSET_ADD^relgr5=&quot;药物相关&quot;" xr:uid="{00000000-0004-0000-0200-000021000000}"/>
    <hyperlink ref="Q120" r:id="rId35" display="RPTHORIZ^N@SUBSET_ADD^relgr5=&quot;药物相关&quot;" xr:uid="{00000000-0004-0000-0200-000022000000}"/>
    <hyperlink ref="Q125" r:id="rId36" display="RPTHORIZ^N@ARM_TOTAL_FL^Y@XOVERFL^Y@XOVER_ARM_VAR^trtag1@XOVER_ARMN_VAR^trtag1n" xr:uid="{00000000-0004-0000-0200-000023000000}"/>
    <hyperlink ref="Q126" r:id="rId37" display="RPTHORIZ^N@ARM_TOTAL_FL^Y@XOVERFL^Y@XOVER_ARM_VAR^trtag1@XOVER_ARMN_VAR^trtag1n" xr:uid="{00000000-0004-0000-0200-000024000000}"/>
    <hyperlink ref="Q127" r:id="rId38" display="RPTHORIZ^N@ARM_TOTAL_FL^Y@XOVERFL^Y@XOVER_ARM_VAR^trtag1@XOVER_ARMN_VAR^trtag1n" xr:uid="{00000000-0004-0000-0200-000025000000}"/>
    <hyperlink ref="Q128" r:id="rId39" display="RPTHORIZ^N@ARM_TOTAL_FL^Y@XOVERFL^Y@XOVER_ARM_VAR^trtag1@XOVER_ARMN_VAR^trtag1n" xr:uid="{00000000-0004-0000-0200-000026000000}"/>
    <hyperlink ref="Q129" r:id="rId40" display="RPTHORIZ^N@ARM_TOTAL_FL^Y@XOVERFL^Y@XOVER_ARM_VAR^trtag1@XOVER_ARMN_VAR^trtag1n" xr:uid="{00000000-0004-0000-0200-000027000000}"/>
    <hyperlink ref="Q130" r:id="rId41" display="RPTHORIZ^N@ARM_TOTAL_FL^Y@XOVERFL^Y@XOVER_ARM_VAR^trtag1@XOVER_ARMN_VAR^trtag1n" xr:uid="{00000000-0004-0000-0200-000028000000}"/>
    <hyperlink ref="Q143" r:id="rId42" xr:uid="{00000000-0004-0000-0200-000029000000}"/>
    <hyperlink ref="Q149" r:id="rId43" xr:uid="{00000000-0004-0000-0200-00002A000000}"/>
    <hyperlink ref="Q158" r:id="rId44" xr:uid="{F66FC8FB-BFD5-4202-9A7D-2A07892D4FB8}"/>
    <hyperlink ref="Q86" r:id="rId45" xr:uid="{DA1B72F2-6B31-40AC-9F86-495DF9C24DD9}"/>
    <hyperlink ref="Q91" r:id="rId46" xr:uid="{EDB5E40A-A0B7-496E-897B-FD6B77A6A865}"/>
  </hyperlinks>
  <pageMargins left="0.7" right="0.7" top="0.75" bottom="0.75" header="0.3" footer="0.3"/>
  <pageSetup paperSize="9" orientation="portrait" r:id="rId4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
  <sheetViews>
    <sheetView workbookViewId="0">
      <selection activeCell="B3" sqref="B3"/>
    </sheetView>
  </sheetViews>
  <sheetFormatPr defaultRowHeight="14" x14ac:dyDescent="0.3"/>
  <cols>
    <col min="1" max="1" width="11.75" style="77" customWidth="1"/>
    <col min="2" max="2" width="10.75" style="77" customWidth="1"/>
  </cols>
  <sheetData>
    <row r="1" spans="1:2" x14ac:dyDescent="0.3">
      <c r="A1" t="s">
        <v>637</v>
      </c>
      <c r="B1" t="s">
        <v>638</v>
      </c>
    </row>
    <row r="2" spans="1:2" x14ac:dyDescent="0.3">
      <c r="A2" s="17" t="s">
        <v>639</v>
      </c>
      <c r="B2" t="s">
        <v>18</v>
      </c>
    </row>
    <row r="3" spans="1:2" x14ac:dyDescent="0.3">
      <c r="A3" s="17" t="s">
        <v>640</v>
      </c>
      <c r="B3" t="s">
        <v>19</v>
      </c>
    </row>
    <row r="4" spans="1:2" x14ac:dyDescent="0.3">
      <c r="A4" s="17" t="s">
        <v>641</v>
      </c>
      <c r="B4" t="s">
        <v>63</v>
      </c>
    </row>
    <row r="5" spans="1:2" x14ac:dyDescent="0.3">
      <c r="A5" s="17" t="s">
        <v>642</v>
      </c>
      <c r="B5" t="s">
        <v>43</v>
      </c>
    </row>
    <row r="6" spans="1:2" x14ac:dyDescent="0.3">
      <c r="A6" s="17" t="s">
        <v>643</v>
      </c>
      <c r="B6" t="s">
        <v>67</v>
      </c>
    </row>
    <row r="7" spans="1:2" x14ac:dyDescent="0.3">
      <c r="A7" s="15" t="s">
        <v>644</v>
      </c>
      <c r="B7" t="s">
        <v>645</v>
      </c>
    </row>
    <row r="8" spans="1:2" x14ac:dyDescent="0.3">
      <c r="A8" s="16" t="s">
        <v>646</v>
      </c>
      <c r="B8" t="s">
        <v>647</v>
      </c>
    </row>
    <row r="9" spans="1:2" x14ac:dyDescent="0.3">
      <c r="A9" s="16" t="s">
        <v>648</v>
      </c>
      <c r="B9" t="s">
        <v>649</v>
      </c>
    </row>
    <row r="10" spans="1:2" x14ac:dyDescent="0.3">
      <c r="A10" s="20" t="s">
        <v>650</v>
      </c>
      <c r="B10" t="s">
        <v>649</v>
      </c>
    </row>
    <row r="11" spans="1:2" x14ac:dyDescent="0.3">
      <c r="A11" s="20" t="s">
        <v>651</v>
      </c>
      <c r="B11" t="s">
        <v>647</v>
      </c>
    </row>
    <row r="12" spans="1:2" x14ac:dyDescent="0.3">
      <c r="A12" s="24" t="s">
        <v>652</v>
      </c>
      <c r="B12" t="s">
        <v>645</v>
      </c>
    </row>
    <row r="13" spans="1:2" x14ac:dyDescent="0.3">
      <c r="A13" s="25" t="s">
        <v>653</v>
      </c>
      <c r="B13" t="s">
        <v>43</v>
      </c>
    </row>
    <row r="14" spans="1:2" x14ac:dyDescent="0.3">
      <c r="B14" t="s">
        <v>56</v>
      </c>
    </row>
  </sheetData>
  <phoneticPr fontId="46"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Cover</vt:lpstr>
      <vt:lpstr>Datasets</vt:lpstr>
      <vt:lpstr>TFLs</vt:lpstr>
      <vt:lpstr>Members</vt:lpstr>
      <vt:lpstr>Cover!Print_Area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Yenan Xu~PD [徐晔楠]</dc:creator>
  <cp:lastModifiedBy>Yangyang Kong~R&amp;D [孔洋洋]</cp:lastModifiedBy>
  <dcterms:created xsi:type="dcterms:W3CDTF">2023-09-11T01:58:40Z</dcterms:created>
  <dcterms:modified xsi:type="dcterms:W3CDTF">2026-07-03T07:55:25Z</dcterms:modified>
  <cp:contentStatus>Draft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0x010100EC45727EDE15454AB372DFFCC3BC9BEC</vt:lpwstr>
  </property>
</Properties>
</file>